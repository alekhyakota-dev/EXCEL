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KHYA KOTA\Downloads\"/>
    </mc:Choice>
  </mc:AlternateContent>
  <xr:revisionPtr revIDLastSave="0" documentId="13_ncr:1_{0AC8C856-B57B-4AD0-8AF2-6F6444060529}" xr6:coauthVersionLast="47" xr6:coauthVersionMax="47" xr10:uidLastSave="{00000000-0000-0000-0000-000000000000}"/>
  <bookViews>
    <workbookView xWindow="-108" yWindow="-108" windowWidth="23256" windowHeight="12456" xr2:uid="{1D16D031-47B2-477C-A9DD-1DD5F9C26D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3" i="1" l="1"/>
  <c r="S10" i="1"/>
  <c r="Q13" i="1"/>
  <c r="Q10" i="1"/>
  <c r="O13" i="1"/>
  <c r="O10" i="1"/>
  <c r="M13" i="1"/>
  <c r="M10" i="1"/>
  <c r="K13" i="1"/>
  <c r="K10" i="1"/>
  <c r="I16" i="1"/>
  <c r="I13" i="1"/>
  <c r="I10" i="1"/>
</calcChain>
</file>

<file path=xl/sharedStrings.xml><?xml version="1.0" encoding="utf-8"?>
<sst xmlns="http://schemas.openxmlformats.org/spreadsheetml/2006/main" count="66" uniqueCount="40">
  <si>
    <t>ID</t>
  </si>
  <si>
    <t>Name</t>
  </si>
  <si>
    <t>John Smith</t>
  </si>
  <si>
    <t>Emily Davis</t>
  </si>
  <si>
    <t>Michael Lee</t>
  </si>
  <si>
    <t>Sarah Kim</t>
  </si>
  <si>
    <t>David Chen</t>
  </si>
  <si>
    <t>Laura White</t>
  </si>
  <si>
    <t>Kevin Brown</t>
  </si>
  <si>
    <t>Anna Scott</t>
  </si>
  <si>
    <t>Ryan Hall</t>
  </si>
  <si>
    <t>Sophia King</t>
  </si>
  <si>
    <t>Paul Allen</t>
  </si>
  <si>
    <t>Mia Carter</t>
  </si>
  <si>
    <t>Jack Wilson</t>
  </si>
  <si>
    <t>Olivia Adams</t>
  </si>
  <si>
    <t>Ethan Clark</t>
  </si>
  <si>
    <t>Grace Lewis</t>
  </si>
  <si>
    <t>Henry Young</t>
  </si>
  <si>
    <t>Lily Moore</t>
  </si>
  <si>
    <t>Chris Evans</t>
  </si>
  <si>
    <t>Ava Turner</t>
  </si>
  <si>
    <t>Department</t>
  </si>
  <si>
    <t>Sales</t>
  </si>
  <si>
    <t>HR</t>
  </si>
  <si>
    <t>IT</t>
  </si>
  <si>
    <t>Marketing</t>
  </si>
  <si>
    <t>Salary</t>
  </si>
  <si>
    <t>Bonus</t>
  </si>
  <si>
    <t>Age</t>
  </si>
  <si>
    <t>Joining Date</t>
  </si>
  <si>
    <t>COUNT</t>
  </si>
  <si>
    <t>1st</t>
  </si>
  <si>
    <t>2nd</t>
  </si>
  <si>
    <t>MAX</t>
  </si>
  <si>
    <t>3rd</t>
  </si>
  <si>
    <t>MIN</t>
  </si>
  <si>
    <t>AVERAGE</t>
  </si>
  <si>
    <t>SUM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</si>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</sst>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E350A-E29C-4472-BDE2-5B9D787C434E}">
  <dimension ref="A1:S21"/>
  <sheetViews>
    <sheetView tabSelected="1" workbookViewId="0">
      <selection activeCell="S14" sqref="S14"/>
    </sheetView>
  </sheetViews>
  <sheetFormatPr defaultRowHeight="14.4" x14ac:dyDescent="0.3"/>
  <cols>
    <col min="2" max="2" width="17.21875" customWidth="1"/>
    <col min="3" max="3" width="15.6640625" customWidth="1"/>
    <col min="4" max="4" width="14" customWidth="1"/>
    <col min="5" max="5" width="11.21875" customWidth="1"/>
    <col min="7" max="7" width="16.5546875" customWidth="1"/>
  </cols>
  <sheetData>
    <row r="1" spans="1:19" ht="15.6" x14ac:dyDescent="0.3">
      <c r="A1" s="1" t="s">
        <v>0</v>
      </c>
      <c r="B1" s="1" t="s">
        <v>1</v>
      </c>
      <c r="C1" s="1" t="s">
        <v>22</v>
      </c>
      <c r="D1" s="1" t="s">
        <v>27</v>
      </c>
      <c r="E1" s="1" t="s">
        <v>28</v>
      </c>
      <c r="F1" s="1" t="s">
        <v>29</v>
      </c>
      <c r="G1" s="1" t="s">
        <v>30</v>
      </c>
    </row>
    <row r="2" spans="1:19" ht="15.6" x14ac:dyDescent="0.3">
      <c r="A2" s="2">
        <v>1</v>
      </c>
      <c r="B2" s="2" t="s">
        <v>2</v>
      </c>
      <c r="C2" s="2" t="s">
        <v>23</v>
      </c>
      <c r="D2" s="2">
        <v>45000</v>
      </c>
      <c r="E2" s="2">
        <v>2000</v>
      </c>
      <c r="F2" s="2">
        <v>29</v>
      </c>
      <c r="G2" s="3">
        <v>43876</v>
      </c>
    </row>
    <row r="3" spans="1:19" ht="15.6" x14ac:dyDescent="0.3">
      <c r="A3" s="2">
        <v>2</v>
      </c>
      <c r="B3" s="2" t="s">
        <v>3</v>
      </c>
      <c r="C3" s="2" t="s">
        <v>24</v>
      </c>
      <c r="D3" s="2">
        <v>52000</v>
      </c>
      <c r="E3" s="2">
        <v>2500</v>
      </c>
      <c r="F3" s="2">
        <v>34</v>
      </c>
      <c r="G3" s="3">
        <v>43617</v>
      </c>
    </row>
    <row r="4" spans="1:19" ht="15.6" x14ac:dyDescent="0.3">
      <c r="A4" s="2">
        <v>3</v>
      </c>
      <c r="B4" s="2" t="s">
        <v>4</v>
      </c>
      <c r="C4" s="2" t="s">
        <v>25</v>
      </c>
      <c r="D4" s="2">
        <v>61000</v>
      </c>
      <c r="E4" s="2">
        <v>3000</v>
      </c>
      <c r="F4" s="2">
        <v>41</v>
      </c>
      <c r="G4" s="3">
        <v>43355</v>
      </c>
    </row>
    <row r="5" spans="1:19" ht="15.6" x14ac:dyDescent="0.3">
      <c r="A5" s="2">
        <v>4</v>
      </c>
      <c r="B5" s="2" t="s">
        <v>5</v>
      </c>
      <c r="C5" s="2" t="s">
        <v>26</v>
      </c>
      <c r="D5" s="2">
        <v>48000</v>
      </c>
      <c r="E5" s="2">
        <v>1800</v>
      </c>
      <c r="F5" s="2">
        <v>26</v>
      </c>
      <c r="G5" s="3">
        <v>44204</v>
      </c>
    </row>
    <row r="6" spans="1:19" ht="15.6" x14ac:dyDescent="0.3">
      <c r="A6" s="2">
        <v>5</v>
      </c>
      <c r="B6" s="2" t="s">
        <v>6</v>
      </c>
      <c r="C6" s="2" t="s">
        <v>23</v>
      </c>
      <c r="D6" s="2">
        <v>47000</v>
      </c>
      <c r="E6" s="2">
        <v>2100</v>
      </c>
      <c r="F6" s="2">
        <v>31</v>
      </c>
      <c r="G6" s="3">
        <v>43792</v>
      </c>
    </row>
    <row r="7" spans="1:19" ht="15.6" x14ac:dyDescent="0.3">
      <c r="A7" s="2">
        <v>6</v>
      </c>
      <c r="B7" s="2" t="s">
        <v>7</v>
      </c>
      <c r="C7" s="2" t="s">
        <v>24</v>
      </c>
      <c r="D7" s="2">
        <v>53000</v>
      </c>
      <c r="E7" s="2">
        <v>2700</v>
      </c>
      <c r="F7" s="2">
        <v>38</v>
      </c>
      <c r="G7" s="3">
        <v>42872</v>
      </c>
    </row>
    <row r="8" spans="1:19" ht="15.6" x14ac:dyDescent="0.3">
      <c r="A8" s="2">
        <v>7</v>
      </c>
      <c r="B8" s="2" t="s">
        <v>8</v>
      </c>
      <c r="C8" s="2" t="s">
        <v>25</v>
      </c>
      <c r="D8" s="2">
        <v>65000</v>
      </c>
      <c r="E8" s="2">
        <v>3500</v>
      </c>
      <c r="F8" s="2">
        <v>44</v>
      </c>
      <c r="G8" s="3">
        <v>42194</v>
      </c>
      <c r="I8" s="4" t="s">
        <v>31</v>
      </c>
      <c r="K8" s="4" t="s">
        <v>34</v>
      </c>
      <c r="M8" s="4" t="s">
        <v>36</v>
      </c>
      <c r="O8" s="4" t="s">
        <v>37</v>
      </c>
      <c r="Q8" s="4" t="s">
        <v>38</v>
      </c>
      <c r="S8" s="4" t="s">
        <v>39</v>
      </c>
    </row>
    <row r="9" spans="1:19" ht="15.6" x14ac:dyDescent="0.3">
      <c r="A9" s="2">
        <v>8</v>
      </c>
      <c r="B9" s="2" t="s">
        <v>9</v>
      </c>
      <c r="C9" s="2" t="s">
        <v>26</v>
      </c>
      <c r="D9" s="2">
        <v>50000</v>
      </c>
      <c r="E9" s="2">
        <v>1900</v>
      </c>
      <c r="F9" s="2">
        <v>28</v>
      </c>
      <c r="G9" s="3">
        <v>44063</v>
      </c>
      <c r="I9" t="s">
        <v>32</v>
      </c>
      <c r="K9" t="s">
        <v>32</v>
      </c>
      <c r="M9" t="s">
        <v>32</v>
      </c>
      <c r="O9" t="s">
        <v>32</v>
      </c>
      <c r="Q9" t="s">
        <v>32</v>
      </c>
      <c r="S9" t="s">
        <v>32</v>
      </c>
    </row>
    <row r="10" spans="1:19" ht="15.6" x14ac:dyDescent="0.3">
      <c r="A10" s="2">
        <v>9</v>
      </c>
      <c r="B10" s="2" t="s">
        <v>10</v>
      </c>
      <c r="C10" s="2" t="s">
        <v>23</v>
      </c>
      <c r="D10" s="2">
        <v>46000</v>
      </c>
      <c r="E10" s="2">
        <v>2050</v>
      </c>
      <c r="F10" s="2">
        <v>33</v>
      </c>
      <c r="G10" s="3">
        <v>43538</v>
      </c>
      <c r="I10">
        <f>COUNT(A2:A21)</f>
        <v>20</v>
      </c>
      <c r="K10">
        <f>MAX(D2:D21)</f>
        <v>65000</v>
      </c>
      <c r="M10">
        <f>MIN(D3,D7,D11,D15,D19)</f>
        <v>52000</v>
      </c>
      <c r="O10">
        <f>AVERAGE(D2:D21)</f>
        <v>53425</v>
      </c>
      <c r="Q10">
        <f>SUM(D2:D21)</f>
        <v>1068500</v>
      </c>
      <c r="S10">
        <f>MEDIAN(D2:D21)</f>
        <v>52000</v>
      </c>
    </row>
    <row r="11" spans="1:19" ht="15.6" x14ac:dyDescent="0.3">
      <c r="A11" s="2">
        <v>10</v>
      </c>
      <c r="B11" s="2" t="s">
        <v>11</v>
      </c>
      <c r="C11" s="2" t="s">
        <v>24</v>
      </c>
      <c r="D11" s="2">
        <v>54000</v>
      </c>
      <c r="E11" s="2">
        <v>2600</v>
      </c>
      <c r="F11" s="2">
        <v>36</v>
      </c>
      <c r="G11" s="3">
        <v>42672</v>
      </c>
    </row>
    <row r="12" spans="1:19" ht="15.6" x14ac:dyDescent="0.3">
      <c r="A12" s="2">
        <v>11</v>
      </c>
      <c r="B12" s="2" t="s">
        <v>12</v>
      </c>
      <c r="C12" s="2" t="s">
        <v>25</v>
      </c>
      <c r="D12" s="2">
        <v>62000</v>
      </c>
      <c r="E12" s="2">
        <v>3100</v>
      </c>
      <c r="F12" s="2">
        <v>42</v>
      </c>
      <c r="G12" s="3">
        <v>43453</v>
      </c>
      <c r="I12" t="s">
        <v>33</v>
      </c>
      <c r="K12" t="s">
        <v>33</v>
      </c>
      <c r="M12" t="s">
        <v>33</v>
      </c>
      <c r="O12" t="s">
        <v>33</v>
      </c>
      <c r="Q12" t="s">
        <v>33</v>
      </c>
      <c r="S12" t="s">
        <v>33</v>
      </c>
    </row>
    <row r="13" spans="1:19" ht="15.6" x14ac:dyDescent="0.3">
      <c r="A13" s="2">
        <v>12</v>
      </c>
      <c r="B13" s="2" t="s">
        <v>13</v>
      </c>
      <c r="C13" s="2" t="s">
        <v>26</v>
      </c>
      <c r="D13" s="2">
        <v>51000</v>
      </c>
      <c r="E13" s="2">
        <v>2000</v>
      </c>
      <c r="F13" s="2">
        <v>27</v>
      </c>
      <c r="G13" s="3">
        <v>44352</v>
      </c>
      <c r="I13">
        <f>COUNT(A2,A6,A10,A14,A18)</f>
        <v>5</v>
      </c>
      <c r="K13">
        <f>MAX(E4,E8,E12,E16,E20)</f>
        <v>3500</v>
      </c>
      <c r="M13">
        <f>MIN(F2:F21)</f>
        <v>26</v>
      </c>
      <c r="O13">
        <f>AVERAGE(F4,F8,F12,F16,F20)</f>
        <v>43</v>
      </c>
      <c r="Q13">
        <f>SUM(E5,E9,E13,E17,E21)</f>
        <v>9750</v>
      </c>
      <c r="S13">
        <f>MEDIAN(E2:E21)</f>
        <v>2350</v>
      </c>
    </row>
    <row r="14" spans="1:19" ht="15.6" x14ac:dyDescent="0.3">
      <c r="A14" s="2">
        <v>13</v>
      </c>
      <c r="B14" s="2" t="s">
        <v>14</v>
      </c>
      <c r="C14" s="2" t="s">
        <v>23</v>
      </c>
      <c r="D14" s="2">
        <v>48000</v>
      </c>
      <c r="E14" s="2">
        <v>2200</v>
      </c>
      <c r="F14" s="2">
        <v>30</v>
      </c>
      <c r="G14" s="3">
        <v>43130</v>
      </c>
    </row>
    <row r="15" spans="1:19" ht="15.6" x14ac:dyDescent="0.3">
      <c r="A15" s="2">
        <v>14</v>
      </c>
      <c r="B15" s="2" t="s">
        <v>15</v>
      </c>
      <c r="C15" s="2" t="s">
        <v>24</v>
      </c>
      <c r="D15" s="2">
        <v>55000</v>
      </c>
      <c r="E15" s="2">
        <v>2800</v>
      </c>
      <c r="F15" s="2">
        <v>39</v>
      </c>
      <c r="G15" s="3">
        <v>42263</v>
      </c>
      <c r="I15" t="s">
        <v>35</v>
      </c>
    </row>
    <row r="16" spans="1:19" ht="15.6" x14ac:dyDescent="0.3">
      <c r="A16" s="2">
        <v>15</v>
      </c>
      <c r="B16" s="2" t="s">
        <v>16</v>
      </c>
      <c r="C16" s="2" t="s">
        <v>25</v>
      </c>
      <c r="D16" s="2">
        <v>64000</v>
      </c>
      <c r="E16" s="2">
        <v>3300</v>
      </c>
      <c r="F16" s="2">
        <v>45</v>
      </c>
      <c r="G16" s="3">
        <v>41946</v>
      </c>
      <c r="I16">
        <f>COUNT(A4,A7,A8,A11,A12,A15,A16,A20)</f>
        <v>8</v>
      </c>
    </row>
    <row r="17" spans="1:7" ht="15.6" x14ac:dyDescent="0.3">
      <c r="A17" s="2">
        <v>16</v>
      </c>
      <c r="B17" s="2" t="s">
        <v>17</v>
      </c>
      <c r="C17" s="2" t="s">
        <v>26</v>
      </c>
      <c r="D17" s="2">
        <v>52000</v>
      </c>
      <c r="E17" s="2">
        <v>2100</v>
      </c>
      <c r="F17" s="2">
        <v>29</v>
      </c>
      <c r="G17" s="3">
        <v>43939</v>
      </c>
    </row>
    <row r="18" spans="1:7" ht="15.6" x14ac:dyDescent="0.3">
      <c r="A18" s="2">
        <v>17</v>
      </c>
      <c r="B18" s="2" t="s">
        <v>18</v>
      </c>
      <c r="C18" s="2" t="s">
        <v>23</v>
      </c>
      <c r="D18" s="2">
        <v>47000</v>
      </c>
      <c r="E18" s="2">
        <v>2000</v>
      </c>
      <c r="F18" s="2">
        <v>32</v>
      </c>
      <c r="G18" s="3">
        <v>43800</v>
      </c>
    </row>
    <row r="19" spans="1:7" ht="15.6" x14ac:dyDescent="0.3">
      <c r="A19" s="2">
        <v>18</v>
      </c>
      <c r="B19" s="2" t="s">
        <v>19</v>
      </c>
      <c r="C19" s="2" t="s">
        <v>24</v>
      </c>
      <c r="D19" s="2">
        <v>56000</v>
      </c>
      <c r="E19" s="2">
        <v>2500</v>
      </c>
      <c r="F19" s="2">
        <v>35</v>
      </c>
      <c r="G19" s="3">
        <v>42548</v>
      </c>
    </row>
    <row r="20" spans="1:7" ht="15.6" x14ac:dyDescent="0.3">
      <c r="A20" s="2">
        <v>19</v>
      </c>
      <c r="B20" s="2" t="s">
        <v>20</v>
      </c>
      <c r="C20" s="2" t="s">
        <v>25</v>
      </c>
      <c r="D20" s="2">
        <v>63000</v>
      </c>
      <c r="E20" s="2">
        <v>3400</v>
      </c>
      <c r="F20" s="2">
        <v>43</v>
      </c>
      <c r="G20" s="3">
        <v>42774</v>
      </c>
    </row>
    <row r="21" spans="1:7" ht="15.6" x14ac:dyDescent="0.3">
      <c r="A21" s="2">
        <v>20</v>
      </c>
      <c r="B21" s="2" t="s">
        <v>21</v>
      </c>
      <c r="C21" s="2" t="s">
        <v>26</v>
      </c>
      <c r="D21" s="2">
        <v>49500</v>
      </c>
      <c r="E21" s="2">
        <v>1950</v>
      </c>
      <c r="F21" s="2">
        <v>28</v>
      </c>
      <c r="G21" s="3">
        <v>44453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kotaalekhya31@outlook.com</dc:creator>
  <cp:lastModifiedBy>kotaalekhya31@outlook.com</cp:lastModifiedBy>
  <dcterms:created xsi:type="dcterms:W3CDTF">2026-02-26T14:16:33Z</dcterms:created>
  <dcterms:modified xsi:type="dcterms:W3CDTF">2026-02-26T14:52:13Z</dcterms:modified>
</cp:coreProperties>
</file>