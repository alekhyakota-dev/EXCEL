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 KOTA\Downloads\"/>
    </mc:Choice>
  </mc:AlternateContent>
  <xr:revisionPtr revIDLastSave="0" documentId="13_ncr:1_{29940AEF-1AE4-4141-91C4-32D0D8C46ECC}" xr6:coauthVersionLast="47" xr6:coauthVersionMax="47" xr10:uidLastSave="{00000000-0000-0000-0000-000000000000}"/>
  <bookViews>
    <workbookView xWindow="-108" yWindow="-108" windowWidth="23256" windowHeight="12456" xr2:uid="{9D2C2676-54AB-4C5C-AF64-CCCDC3EDB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3" i="1" l="1"/>
  <c r="AB24" i="1"/>
  <c r="AB25" i="1"/>
  <c r="AB26" i="1"/>
  <c r="AB27" i="1"/>
  <c r="AB28" i="1"/>
  <c r="AB29" i="1"/>
  <c r="AB30" i="1"/>
  <c r="AB31" i="1"/>
  <c r="AB14" i="1"/>
  <c r="AB15" i="1"/>
  <c r="AB16" i="1"/>
  <c r="AB17" i="1"/>
  <c r="AB18" i="1"/>
  <c r="AB19" i="1"/>
  <c r="AB20" i="1"/>
  <c r="AB21" i="1"/>
  <c r="AB22" i="1"/>
  <c r="AB3" i="1"/>
  <c r="AB4" i="1"/>
  <c r="AB5" i="1"/>
  <c r="AB6" i="1"/>
  <c r="AB7" i="1"/>
  <c r="AB8" i="1"/>
  <c r="AB9" i="1"/>
  <c r="AB10" i="1"/>
  <c r="AB11" i="1"/>
  <c r="AB12" i="1"/>
  <c r="AB13" i="1"/>
  <c r="AB2" i="1"/>
  <c r="AA31" i="1"/>
  <c r="AA24" i="1"/>
  <c r="AA25" i="1"/>
  <c r="AA26" i="1"/>
  <c r="AA27" i="1"/>
  <c r="AA28" i="1"/>
  <c r="AA29" i="1"/>
  <c r="AA30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" i="1"/>
  <c r="Z29" i="1"/>
  <c r="Z30" i="1"/>
  <c r="Z31" i="1"/>
  <c r="Z18" i="1"/>
  <c r="Z19" i="1"/>
  <c r="Z20" i="1"/>
  <c r="Z21" i="1"/>
  <c r="Z22" i="1"/>
  <c r="Z23" i="1"/>
  <c r="Z24" i="1"/>
  <c r="Z25" i="1"/>
  <c r="Z26" i="1"/>
  <c r="Z27" i="1"/>
  <c r="Z28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2" i="1"/>
  <c r="Y29" i="1"/>
  <c r="Y30" i="1"/>
  <c r="Y3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" i="1"/>
  <c r="X31" i="1" a="1"/>
  <c r="X31" i="1"/>
  <c r="X25" i="1" a="1"/>
  <c r="X25" i="1"/>
  <c r="X26" i="1" a="1"/>
  <c r="X26" i="1"/>
  <c r="X27" i="1" a="1"/>
  <c r="X27" i="1"/>
  <c r="X28" i="1" a="1"/>
  <c r="X28" i="1"/>
  <c r="X29" i="1" a="1"/>
  <c r="X29" i="1"/>
  <c r="X30" i="1" a="1"/>
  <c r="X30" i="1"/>
  <c r="X3" i="1" a="1"/>
  <c r="X3" i="1"/>
  <c r="X4" i="1" a="1"/>
  <c r="X4" i="1"/>
  <c r="X5" i="1" a="1"/>
  <c r="X5" i="1"/>
  <c r="X6" i="1" a="1"/>
  <c r="X6" i="1"/>
  <c r="X7" i="1" a="1"/>
  <c r="X7" i="1"/>
  <c r="X8" i="1" a="1"/>
  <c r="X8" i="1"/>
  <c r="X9" i="1" a="1"/>
  <c r="X9" i="1"/>
  <c r="X10" i="1" a="1"/>
  <c r="X10" i="1"/>
  <c r="X11" i="1" a="1"/>
  <c r="X11" i="1"/>
  <c r="X12" i="1" a="1"/>
  <c r="X12" i="1"/>
  <c r="X13" i="1" a="1"/>
  <c r="X13" i="1"/>
  <c r="X14" i="1" a="1"/>
  <c r="X14" i="1"/>
  <c r="X15" i="1" a="1"/>
  <c r="X15" i="1"/>
  <c r="X16" i="1" a="1"/>
  <c r="X16" i="1"/>
  <c r="X17" i="1" a="1"/>
  <c r="X17" i="1"/>
  <c r="X18" i="1" a="1"/>
  <c r="X18" i="1"/>
  <c r="X19" i="1" a="1"/>
  <c r="X19" i="1"/>
  <c r="X20" i="1" a="1"/>
  <c r="X20" i="1"/>
  <c r="X21" i="1" a="1"/>
  <c r="X21" i="1"/>
  <c r="X22" i="1" a="1"/>
  <c r="X22" i="1"/>
  <c r="X23" i="1" a="1"/>
  <c r="X23" i="1"/>
  <c r="X24" i="1" a="1"/>
  <c r="X24" i="1"/>
  <c r="X2" i="1" a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2" i="1"/>
  <c r="V2" i="1" a="1"/>
  <c r="V2" i="1" s="1"/>
  <c r="U31" i="1" a="1"/>
  <c r="U31" i="1" s="1"/>
  <c r="V29" i="1" a="1"/>
  <c r="V29" i="1"/>
  <c r="V20" i="1" a="1"/>
  <c r="V20" i="1"/>
  <c r="V21" i="1" a="1"/>
  <c r="V21" i="1"/>
  <c r="V22" i="1" a="1"/>
  <c r="V22" i="1"/>
  <c r="V23" i="1" a="1"/>
  <c r="V23" i="1"/>
  <c r="V24" i="1" a="1"/>
  <c r="V24" i="1" s="1"/>
  <c r="V25" i="1" a="1"/>
  <c r="V25" i="1"/>
  <c r="V26" i="1" a="1"/>
  <c r="V26" i="1"/>
  <c r="V27" i="1" a="1"/>
  <c r="V27" i="1"/>
  <c r="V28" i="1" a="1"/>
  <c r="V28" i="1"/>
  <c r="V3" i="1" a="1"/>
  <c r="V3" i="1"/>
  <c r="V4" i="1" a="1"/>
  <c r="V4" i="1" s="1"/>
  <c r="V5" i="1" a="1"/>
  <c r="V5" i="1"/>
  <c r="V6" i="1" a="1"/>
  <c r="V6" i="1"/>
  <c r="V7" i="1" a="1"/>
  <c r="V7" i="1"/>
  <c r="V8" i="1" a="1"/>
  <c r="V8" i="1" s="1"/>
  <c r="V9" i="1" a="1"/>
  <c r="V9" i="1"/>
  <c r="V10" i="1" a="1"/>
  <c r="V10" i="1"/>
  <c r="V11" i="1" a="1"/>
  <c r="V11" i="1"/>
  <c r="V12" i="1" a="1"/>
  <c r="V12" i="1"/>
  <c r="V13" i="1" a="1"/>
  <c r="V13" i="1"/>
  <c r="V14" i="1" a="1"/>
  <c r="V14" i="1" s="1"/>
  <c r="V15" i="1" a="1"/>
  <c r="V15" i="1"/>
  <c r="V16" i="1" a="1"/>
  <c r="V16" i="1"/>
  <c r="V17" i="1" a="1"/>
  <c r="V17" i="1" s="1"/>
  <c r="V18" i="1" a="1"/>
  <c r="V18" i="1"/>
  <c r="V19" i="1" a="1"/>
  <c r="V19" i="1"/>
  <c r="U3" i="1" a="1"/>
  <c r="U3" i="1" s="1"/>
  <c r="U4" i="1" a="1"/>
  <c r="U4" i="1"/>
  <c r="U5" i="1" a="1"/>
  <c r="U5" i="1"/>
  <c r="U6" i="1" a="1"/>
  <c r="U6" i="1" s="1"/>
  <c r="U7" i="1" a="1"/>
  <c r="U7" i="1" s="1"/>
  <c r="U8" i="1" a="1"/>
  <c r="U8" i="1"/>
  <c r="U9" i="1" a="1"/>
  <c r="U9" i="1" s="1"/>
  <c r="U10" i="1" a="1"/>
  <c r="U10" i="1"/>
  <c r="U11" i="1" a="1"/>
  <c r="U11" i="1"/>
  <c r="U12" i="1" a="1"/>
  <c r="U12" i="1" s="1"/>
  <c r="U13" i="1" a="1"/>
  <c r="U13" i="1"/>
  <c r="U14" i="1" a="1"/>
  <c r="U14" i="1" s="1"/>
  <c r="U15" i="1" a="1"/>
  <c r="U15" i="1"/>
  <c r="U16" i="1" a="1"/>
  <c r="U16" i="1"/>
  <c r="U17" i="1" a="1"/>
  <c r="U17" i="1"/>
  <c r="U18" i="1" a="1"/>
  <c r="U18" i="1" s="1"/>
  <c r="U19" i="1" a="1"/>
  <c r="U19" i="1"/>
  <c r="U20" i="1" a="1"/>
  <c r="U20" i="1"/>
  <c r="U21" i="1" a="1"/>
  <c r="U21" i="1"/>
  <c r="U22" i="1" a="1"/>
  <c r="U22" i="1" s="1"/>
  <c r="U23" i="1" a="1"/>
  <c r="U23" i="1"/>
  <c r="U24" i="1" a="1"/>
  <c r="U24" i="1" s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 s="1"/>
  <c r="U2" i="1" a="1"/>
  <c r="U2" i="1" s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" i="1"/>
  <c r="T4" i="1"/>
  <c r="T5" i="1"/>
  <c r="T6" i="1"/>
  <c r="T7" i="1"/>
  <c r="T8" i="1"/>
  <c r="T9" i="1"/>
  <c r="T10" i="1"/>
  <c r="T11" i="1"/>
  <c r="T12" i="1"/>
  <c r="T13" i="1"/>
  <c r="T1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1" i="1" a="1"/>
  <c r="R31" i="1" s="1"/>
  <c r="R3" i="1" a="1"/>
  <c r="R3" i="1"/>
  <c r="R4" i="1" a="1"/>
  <c r="R4" i="1"/>
  <c r="R5" i="1" a="1"/>
  <c r="R5" i="1" s="1"/>
  <c r="R6" i="1" a="1"/>
  <c r="R6" i="1" s="1"/>
  <c r="R7" i="1" a="1"/>
  <c r="R7" i="1" s="1"/>
  <c r="R8" i="1" a="1"/>
  <c r="R8" i="1"/>
  <c r="R9" i="1" a="1"/>
  <c r="R9" i="1"/>
  <c r="R10" i="1" a="1"/>
  <c r="R10" i="1"/>
  <c r="R11" i="1" a="1"/>
  <c r="R11" i="1"/>
  <c r="R12" i="1" a="1"/>
  <c r="R12" i="1" s="1"/>
  <c r="R13" i="1" a="1"/>
  <c r="R13" i="1" s="1"/>
  <c r="R14" i="1" a="1"/>
  <c r="R14" i="1"/>
  <c r="R15" i="1" a="1"/>
  <c r="R15" i="1"/>
  <c r="R16" i="1" a="1"/>
  <c r="R16" i="1"/>
  <c r="R17" i="1" a="1"/>
  <c r="R17" i="1"/>
  <c r="R18" i="1" a="1"/>
  <c r="R18" i="1" s="1"/>
  <c r="R19" i="1" a="1"/>
  <c r="R19" i="1"/>
  <c r="R20" i="1" a="1"/>
  <c r="R20" i="1" s="1"/>
  <c r="R21" i="1" a="1"/>
  <c r="R21" i="1"/>
  <c r="R22" i="1" a="1"/>
  <c r="R22" i="1"/>
  <c r="R23" i="1" a="1"/>
  <c r="R23" i="1"/>
  <c r="R24" i="1" a="1"/>
  <c r="R24" i="1" s="1"/>
  <c r="R25" i="1" a="1"/>
  <c r="R25" i="1"/>
  <c r="R26" i="1" a="1"/>
  <c r="R26" i="1" s="1"/>
  <c r="R27" i="1" a="1"/>
  <c r="R27" i="1" s="1"/>
  <c r="R28" i="1" a="1"/>
  <c r="R28" i="1"/>
  <c r="R29" i="1" a="1"/>
  <c r="R29" i="1"/>
  <c r="R30" i="1" a="1"/>
  <c r="R30" i="1" s="1"/>
  <c r="R2" i="1" a="1"/>
  <c r="R2" i="1"/>
  <c r="O2" i="1" a="1"/>
  <c r="O2" i="1" s="1"/>
  <c r="Q3" i="1" a="1"/>
  <c r="Q3" i="1" s="1"/>
  <c r="Q4" i="1" a="1"/>
  <c r="Q4" i="1"/>
  <c r="Q5" i="1" a="1"/>
  <c r="Q5" i="1"/>
  <c r="Q6" i="1" a="1"/>
  <c r="Q6" i="1"/>
  <c r="Q7" i="1" a="1"/>
  <c r="Q7" i="1" s="1"/>
  <c r="Q8" i="1" a="1"/>
  <c r="Q8" i="1"/>
  <c r="Q9" i="1" a="1"/>
  <c r="Q9" i="1"/>
  <c r="Q10" i="1" a="1"/>
  <c r="Q10" i="1"/>
  <c r="Q11" i="1" a="1"/>
  <c r="Q11" i="1" s="1"/>
  <c r="Q12" i="1" a="1"/>
  <c r="Q12" i="1"/>
  <c r="Q13" i="1" a="1"/>
  <c r="Q13" i="1" s="1"/>
  <c r="Q14" i="1" a="1"/>
  <c r="Q14" i="1"/>
  <c r="Q15" i="1" a="1"/>
  <c r="Q15" i="1"/>
  <c r="Q16" i="1" a="1"/>
  <c r="Q16" i="1" s="1"/>
  <c r="Q17" i="1" a="1"/>
  <c r="Q17" i="1"/>
  <c r="Q18" i="1" a="1"/>
  <c r="Q18" i="1" s="1"/>
  <c r="Q19" i="1" a="1"/>
  <c r="Q19" i="1" s="1"/>
  <c r="Q20" i="1" a="1"/>
  <c r="Q20" i="1"/>
  <c r="Q21" i="1" a="1"/>
  <c r="Q21" i="1"/>
  <c r="Q22" i="1" a="1"/>
  <c r="Q22" i="1" s="1"/>
  <c r="Q23" i="1" a="1"/>
  <c r="Q23" i="1" s="1"/>
  <c r="Q24" i="1" a="1"/>
  <c r="Q24" i="1"/>
  <c r="Q25" i="1" a="1"/>
  <c r="Q25" i="1" s="1"/>
  <c r="Q26" i="1" a="1"/>
  <c r="Q26" i="1" s="1"/>
  <c r="Q27" i="1" a="1"/>
  <c r="Q27" i="1"/>
  <c r="Q28" i="1" a="1"/>
  <c r="Q28" i="1"/>
  <c r="Q29" i="1" a="1"/>
  <c r="Q29" i="1"/>
  <c r="Q30" i="1" a="1"/>
  <c r="Q30" i="1"/>
  <c r="Q31" i="1" a="1"/>
  <c r="Q31" i="1" s="1"/>
  <c r="Q32" i="1" a="1"/>
  <c r="Q32" i="1"/>
  <c r="Q2" i="1" a="1"/>
  <c r="Q2" i="1" s="1"/>
  <c r="P2" i="1" a="1"/>
  <c r="P2" i="1" s="1"/>
  <c r="P31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" i="1"/>
  <c r="P4" i="1"/>
  <c r="P5" i="1"/>
  <c r="P6" i="1"/>
  <c r="P7" i="1"/>
  <c r="P8" i="1"/>
  <c r="P9" i="1"/>
  <c r="P10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" i="1"/>
  <c r="O4" i="1"/>
  <c r="O5" i="1"/>
  <c r="O6" i="1"/>
  <c r="O7" i="1"/>
  <c r="O8" i="1"/>
  <c r="O9" i="1"/>
  <c r="O10" i="1"/>
  <c r="O11" i="1"/>
  <c r="O12" i="1"/>
  <c r="O13" i="1"/>
  <c r="O14" i="1"/>
  <c r="N31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K31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" i="1"/>
  <c r="K4" i="1"/>
  <c r="K5" i="1"/>
  <c r="K6" i="1"/>
  <c r="K7" i="1"/>
  <c r="K8" i="1"/>
  <c r="K2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" i="1"/>
  <c r="J4" i="1"/>
  <c r="J5" i="1"/>
  <c r="J6" i="1"/>
  <c r="J7" i="1"/>
  <c r="J8" i="1"/>
  <c r="J2" i="1"/>
  <c r="I30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" i="1"/>
  <c r="I4" i="1"/>
  <c r="I5" i="1"/>
  <c r="I6" i="1"/>
  <c r="I7" i="1"/>
  <c r="I8" i="1"/>
  <c r="I9" i="1"/>
  <c r="I2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<sst xmlns="http://schemas.openxmlformats.org/spreadsheetml/2006/main" count="158" uniqueCount="81">
  <si>
    <t>Employee_ID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</si>
  <si>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</si>
  <si>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</si>
  <si>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</si>
  <si>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</si>
  <si>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</si>
  <si>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</si>
  <si>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</si>
  <si>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</si>
  <si>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</si>
  <si>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</si>
  <si>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</si>
  <si>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</si>
  <si>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</si>
  <si>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</si>
  <si>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</si>
  <si>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</si>
  <si>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</si>
  <si>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</si>
  <si>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</si>
  <si>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</si>
  <si>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</si>
  <si>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</si>
  <si>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</si>
  <si>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</si>
  <si>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</si>
  <si>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</si>
  <si>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</si>
  <si>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</si>
  <si>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</si>
  <si>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</si>
  <si>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Name</t>
  </si>
  <si>
    <t>John Smith</t>
  </si>
  <si>
    <t>Mary Jones</t>
  </si>
  <si>
    <t>Alex Brown</t>
  </si>
  <si>
    <t>Sarah Lee</t>
  </si>
  <si>
    <t>David Clark</t>
  </si>
  <si>
    <t>Emma Davis</t>
  </si>
  <si>
    <t>James Wilson</t>
  </si>
  <si>
    <t>Linda White</t>
  </si>
  <si>
    <t>Robert King</t>
  </si>
  <si>
    <t>Susan Hall</t>
  </si>
  <si>
    <t>Kevin Scott</t>
  </si>
  <si>
    <t>Olivia Young</t>
  </si>
  <si>
    <t>Brian Green</t>
  </si>
  <si>
    <t>Sophia Adams</t>
  </si>
  <si>
    <t>Daniel Carter</t>
  </si>
  <si>
    <t>Mia Turner</t>
  </si>
  <si>
    <t>Ethan Harris</t>
  </si>
  <si>
    <t>Grace Walker</t>
  </si>
  <si>
    <t>Andrew Hall</t>
  </si>
  <si>
    <t>Chloe Allen</t>
  </si>
  <si>
    <t>Noah Baker</t>
  </si>
  <si>
    <t>Lily Parker</t>
  </si>
  <si>
    <t>Mason Rivera</t>
  </si>
  <si>
    <t>Ava Campbell</t>
  </si>
  <si>
    <t>Jack Mitchell</t>
  </si>
  <si>
    <t>Ella Perez</t>
  </si>
  <si>
    <t>Henry Brooks</t>
  </si>
  <si>
    <t>Aria Bennett</t>
  </si>
  <si>
    <t>Samuel Reed</t>
  </si>
  <si>
    <t>Victoria Gray</t>
  </si>
  <si>
    <t>Department</t>
  </si>
  <si>
    <t>Sales</t>
  </si>
  <si>
    <t>HR</t>
  </si>
  <si>
    <t>IT</t>
  </si>
  <si>
    <t>Finance</t>
  </si>
  <si>
    <t>Age</t>
  </si>
  <si>
    <t>Salary</t>
  </si>
  <si>
    <t>Years_Experience</t>
  </si>
  <si>
    <t>Performance_Rating</t>
  </si>
  <si>
    <t>Good</t>
  </si>
  <si>
    <t>Excellent</t>
  </si>
  <si>
    <t>Average</t>
  </si>
  <si>
    <t>Poor</t>
  </si>
  <si>
    <t>Location</t>
  </si>
  <si>
    <t>New York</t>
  </si>
  <si>
    <t>Chicago</t>
  </si>
  <si>
    <t>Los Angeles</t>
  </si>
  <si>
    <t>Boston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</si>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</sst>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C79B-C78A-4E30-9DB8-CE9A507CC1D2}">
  <dimension ref="A1:AB32"/>
  <sheetViews>
    <sheetView tabSelected="1" topLeftCell="T6" zoomScale="85" zoomScaleNormal="85" workbookViewId="0">
      <selection activeCell="AB2" sqref="AB2"/>
    </sheetView>
  </sheetViews>
  <sheetFormatPr defaultRowHeight="14.4" x14ac:dyDescent="0.3"/>
  <cols>
    <col min="1" max="1" width="16.77734375" customWidth="1"/>
    <col min="2" max="2" width="23.77734375" customWidth="1"/>
    <col min="3" max="3" width="20.77734375" customWidth="1"/>
    <col min="4" max="4" width="14.5546875" customWidth="1"/>
    <col min="5" max="5" width="15.109375" customWidth="1"/>
    <col min="6" max="6" width="15.77734375" customWidth="1"/>
    <col min="7" max="7" width="20.5546875" customWidth="1"/>
    <col min="8" max="8" width="13.44140625" customWidth="1"/>
    <col min="9" max="9" width="24.5546875" customWidth="1"/>
    <col min="10" max="10" width="45.44140625" customWidth="1"/>
    <col min="11" max="11" width="23.44140625" customWidth="1"/>
    <col min="12" max="12" width="47.33203125" customWidth="1"/>
    <col min="13" max="13" width="39.44140625" customWidth="1"/>
    <col min="14" max="14" width="33" customWidth="1"/>
    <col min="15" max="15" width="41" customWidth="1"/>
    <col min="16" max="16" width="40.44140625" customWidth="1"/>
    <col min="17" max="17" width="82.88671875" customWidth="1"/>
    <col min="18" max="18" width="41" customWidth="1"/>
    <col min="19" max="19" width="52.88671875" customWidth="1"/>
    <col min="20" max="20" width="51.33203125" customWidth="1"/>
    <col min="21" max="21" width="61.6640625" customWidth="1"/>
    <col min="22" max="22" width="62" customWidth="1"/>
    <col min="23" max="23" width="36.88671875" customWidth="1"/>
    <col min="24" max="24" width="49.5546875" customWidth="1"/>
    <col min="25" max="25" width="62.44140625" customWidth="1"/>
    <col min="26" max="26" width="35.109375" customWidth="1"/>
    <col min="27" max="27" width="44.5546875" customWidth="1"/>
    <col min="28" max="28" width="67.6640625" customWidth="1"/>
  </cols>
  <sheetData>
    <row r="1" spans="1:28" ht="36" x14ac:dyDescent="0.3">
      <c r="A1" s="1" t="s">
        <v>0</v>
      </c>
      <c r="B1" s="1" t="s">
        <v>31</v>
      </c>
      <c r="C1" s="1" t="s">
        <v>62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75</v>
      </c>
      <c r="I1" t="str">
        <f ca="1">_xlfn.FORMULATEXT(I2)</f>
        <v>=IF(E2&gt;50000,"High","Low")</v>
      </c>
      <c r="J1" t="str">
        <f ca="1">_xlfn.FORMULATEXT(J2)</f>
        <v>=IF(AND(C2="Sales",E2&gt;60000),"Top sales","Regular")</v>
      </c>
      <c r="K1" t="str">
        <f ca="1">_xlfn.FORMULATEXT(K2)</f>
        <v>=IF(C2&lt;&gt;"IT","NON-IT","")</v>
      </c>
      <c r="L1" t="str">
        <f ca="1">_xlfn.FORMULATEXT(L2)</f>
        <v>=IF(OR(C2="HR",C2="FINANCE"),"Admin Dept","Other")</v>
      </c>
      <c r="M1" t="str">
        <f ca="1">_xlfn.FORMULATEXT(M2)</f>
        <v>=IF(G2="EXCELLENT","BONUS","NO BONUS")</v>
      </c>
      <c r="N1" t="str">
        <f ca="1">_xlfn.FORMULATEXT(N2)</f>
        <v>=IF(D2&lt;30,"YOUNG","EXPERIENCED")</v>
      </c>
      <c r="O1" t="str">
        <f ca="1">_xlfn.FORMULATEXT(O2)</f>
        <v>=IFS(F2&lt;5,"JUNIOR LOW PAY",E2&lt;50000,"JUNIOR LOW PAY","TRUE","")</v>
      </c>
      <c r="P1" t="str">
        <f ca="1">_xlfn.FORMULATEXT(P2)</f>
        <v>=IFS(B2&gt;40,"Senior", D2&gt;15,"Senior", TRUE,"")</v>
      </c>
      <c r="Q1" t="str">
        <f ca="1">_xlfn.FORMULATEXT(Q2)</f>
        <v>=IFS(H2="NEW YORK","NY GOOD PERFORMER",G2="GOOD","NY  GOOD PERFORMER","TRUE","")</v>
      </c>
      <c r="R1" t="str">
        <f ca="1">_xlfn.FORMULATEXT(R2)</f>
        <v>=IFS(E2&lt;=60000,"Below or Equal 60k", TRUE,"")</v>
      </c>
      <c r="S1" t="str">
        <f ca="1">_xlfn.FORMULATEXT(S2)</f>
        <v>=IF(G2&lt;&gt;"POOR","SATISFACTORY","NEEDS IMPROVEMENT")</v>
      </c>
      <c r="T1" t="str">
        <f ca="1">_xlfn.FORMULATEXT(T2)</f>
        <v>=IF(AND(C2="FINANCE",E2&gt;90000),"HIGH PAID SALARY","")</v>
      </c>
      <c r="U1" t="str">
        <f ca="1">_xlfn.FORMULATEXT(U2)</f>
        <v>=IFS(C2="IT","REVENUE DEPT",C2="SALES","REVENUE DEPT","TRUE","")</v>
      </c>
      <c r="V1" t="str">
        <f ca="1">_xlfn.FORMULATEXT(V2)</f>
        <v>=IFS(C2&lt;35,"YOUNG STAR",G4="EXCELLENT","YOUNG STAR","TRUE","")</v>
      </c>
      <c r="W1" t="str">
        <f ca="1">_xlfn.FORMULATEXT(W2)</f>
        <v>=IF(H2&lt;&gt;"CHICAGO","NON-CHICAGO","")</v>
      </c>
      <c r="X1" t="str">
        <f ca="1">_xlfn.FORMULATEXT(X2)</f>
        <v>=IFS(F2&lt;=5,"MID-LEVEL",F2&gt;=10,"MID-LEVEL","TRUE","")</v>
      </c>
      <c r="Y1" t="str">
        <f ca="1">_xlfn.FORMULATEXT(Y2)</f>
        <v>=IF(AND(C2="SALES",OR(G2="EXCELLENT",E2&gt;75000)),"ELITE SALES","")</v>
      </c>
      <c r="Z1" t="str">
        <f ca="1">_xlfn.FORMULATEXT(Z2)</f>
        <v>=IF(AND(C2="HR",F2&gt;5),"SENIOR HR","")</v>
      </c>
      <c r="AA1" t="str">
        <f ca="1">_xlfn.FORMULATEXT(AA2)</f>
        <v>=IF(OR(G2="POOR",E2&lt;40000),"NEEDS REVIEW","")</v>
      </c>
      <c r="AB1" t="str">
        <f ca="1">_xlfn.FORMULATEXT(AB2)</f>
        <v>=IF(AND(H2="BOSTON",OR(D2&gt;35,G2="EXCELLENT")),"BOSTON LEADER","")</v>
      </c>
    </row>
    <row r="2" spans="1:28" ht="18" x14ac:dyDescent="0.3">
      <c r="A2" s="2" t="s">
        <v>1</v>
      </c>
      <c r="B2" s="2" t="s">
        <v>32</v>
      </c>
      <c r="C2" s="2" t="s">
        <v>63</v>
      </c>
      <c r="D2" s="2">
        <v>28</v>
      </c>
      <c r="E2" s="2">
        <v>42000</v>
      </c>
      <c r="F2" s="2">
        <v>3</v>
      </c>
      <c r="G2" s="2" t="s">
        <v>71</v>
      </c>
      <c r="H2" s="2" t="s">
        <v>76</v>
      </c>
      <c r="I2" t="str">
        <f>IF(E2&gt;50000,"High","Low")</f>
        <v>Low</v>
      </c>
      <c r="J2" t="str">
        <f>IF(AND(C2="Sales",E2&gt;60000),"Top sales","Regular")</f>
        <v>Regular</v>
      </c>
      <c r="K2" t="str">
        <f>IF(C2&lt;&gt;"IT","NON-IT","")</f>
        <v>NON-IT</v>
      </c>
      <c r="L2" t="str">
        <f>IF(OR(C2="HR",C2="FINANCE"),"Admin Dept","Other")</f>
        <v>Other</v>
      </c>
      <c r="M2" t="str">
        <f>IF(G2="EXCELLENT","BONUS","NO BONUS")</f>
        <v>NO BONUS</v>
      </c>
      <c r="N2" t="str">
        <f>IF(D2&lt;30,"YOUNG","EXPERIENCED")</f>
        <v>YOUNG</v>
      </c>
      <c r="O2" t="str" cm="1">
        <f t="array" ref="O2">_xlfn.IFS(F2&lt;5,"JUNIOR LOW PAY",E2&lt;50000,"JUNIOR LOW PAY","TRUE","")</f>
        <v>JUNIOR LOW PAY</v>
      </c>
      <c r="P2" t="str" cm="1">
        <f t="array" ref="P2">_xlfn.IFS(B2&gt;40,"Senior", D2&gt;15,"Senior", TRUE,"")</f>
        <v>Senior</v>
      </c>
      <c r="Q2" t="str" cm="1">
        <f t="array" ref="Q2">_xlfn.IFS(H2="NEW YORK","NY GOOD PERFORMER",G2="GOOD","NY  GOOD PERFORMER","TRUE","")</f>
        <v>NY GOOD PERFORMER</v>
      </c>
      <c r="R2" t="str" cm="1">
        <f t="array" ref="R2">_xlfn.IFS(E2&lt;=60000,"Below or Equal 60k", TRUE,"")</f>
        <v>Below or Equal 60k</v>
      </c>
      <c r="S2" t="str">
        <f>IF(G2&lt;&gt;"POOR","SATISFACTORY","NEEDS IMPROVEMENT")</f>
        <v>SATISFACTORY</v>
      </c>
      <c r="T2" t="str">
        <f>IF(AND(C2="FINANCE",E2&gt;90000),"HIGH PAID SALARY","")</f>
        <v/>
      </c>
      <c r="U2" t="str" cm="1">
        <f t="array" ref="U2">_xlfn.IFS(C2="IT","REVENUE DEPT",C2="SALES","REVENUE DEPT","TRUE","")</f>
        <v>REVENUE DEPT</v>
      </c>
      <c r="V2" t="str" cm="1">
        <f t="array" ref="V2">_xlfn.IFS(C2&lt;35,"YOUNG STAR",G4="EXCELLENT","YOUNG STAR","TRUE","")</f>
        <v/>
      </c>
      <c r="W2" t="str">
        <f>IF(H2&lt;&gt;"CHICAGO","NON-CHICAGO","")</f>
        <v>NON-CHICAGO</v>
      </c>
      <c r="X2" t="str" cm="1">
        <f t="array" ref="X2">_xlfn.IFS(F2&lt;=5,"MID-LEVEL",F2&gt;=10,"MID-LEVEL","TRUE","")</f>
        <v>MID-LEVEL</v>
      </c>
      <c r="Y2" t="str">
        <f>IF(AND(C2="SALES",OR(G2="EXCELLENT",E2&gt;75000)),"ELITE SALES","")</f>
        <v/>
      </c>
      <c r="Z2" t="str">
        <f>IF(AND(C2="HR",F2&gt;5),"SENIOR HR","")</f>
        <v/>
      </c>
      <c r="AA2" t="str">
        <f>IF(OR(G2="POOR",E2&lt;40000),"NEEDS REVIEW","")</f>
        <v/>
      </c>
      <c r="AB2" t="str">
        <f>IF(AND(H2="BOSTON",OR(D2&gt;35,G2="EXCELLENT")),"BOSTON LEADER","")</f>
        <v/>
      </c>
    </row>
    <row r="3" spans="1:28" ht="18" x14ac:dyDescent="0.3">
      <c r="A3" s="2" t="s">
        <v>2</v>
      </c>
      <c r="B3" s="2" t="s">
        <v>33</v>
      </c>
      <c r="C3" s="2" t="s">
        <v>64</v>
      </c>
      <c r="D3" s="2">
        <v>35</v>
      </c>
      <c r="E3" s="2">
        <v>55000</v>
      </c>
      <c r="F3" s="2">
        <v>7</v>
      </c>
      <c r="G3" s="2" t="s">
        <v>72</v>
      </c>
      <c r="H3" s="2" t="s">
        <v>77</v>
      </c>
      <c r="I3" t="str">
        <f t="shared" ref="I3:I42" si="0">IF(E3&gt;50000,"High","Low")</f>
        <v>High</v>
      </c>
      <c r="J3" t="str">
        <f t="shared" ref="J3:J31" si="1">IF(AND(C3="Sales",E3&gt;60000),"Top sales","Regular")</f>
        <v>Regular</v>
      </c>
      <c r="K3" t="str">
        <f>IF(C3&lt;&gt;"IT","NON-IT","")</f>
        <v>NON-IT</v>
      </c>
      <c r="L3" t="str">
        <f t="shared" ref="L3:L31" si="2">IF(OR(C3="HR",C3="FINANCE"),"Admin Dept","Other")</f>
        <v>Admin Dept</v>
      </c>
      <c r="M3" t="str">
        <f t="shared" ref="M3:M31" si="3">IF(G3="EXCELLENT","BONUS","NO BONUS")</f>
        <v>BONUS</v>
      </c>
      <c r="N3" t="str">
        <f t="shared" ref="N3:N30" si="4">IF(D3&lt;30,"YOUNG","EXPERIENCED")</f>
        <v>EXPERIENCED</v>
      </c>
      <c r="O3" t="str">
        <f t="shared" ref="O3:O31" si="5">IF(AND(F3&lt;5,E3&lt;50000),"JUNIOR LOW PAY","")</f>
        <v/>
      </c>
      <c r="P3" t="str">
        <f t="shared" ref="P3:P30" si="6">IF(OR(D3&gt;40,F3&gt;15),"SENIOR","")</f>
        <v/>
      </c>
      <c r="Q3" t="str" cm="1">
        <f t="array" ref="Q3">_xlfn.IFS(H3="NEW YORK","NY GOOD PERFORMER",G3="GOOD","NY  GOOD PERFORMER","TRUE","")</f>
        <v/>
      </c>
      <c r="R3" t="str" cm="1">
        <f t="array" ref="R3">_xlfn.IFS(E3&lt;=60000,"Below or Equal 60k", TRUE,"")</f>
        <v>Below or Equal 60k</v>
      </c>
      <c r="S3" t="str">
        <f t="shared" ref="S3:S31" si="7">IF(G3&lt;&gt;"POOR","SATISFACTORY","NEEDS IMPROVEMENT")</f>
        <v>SATISFACTORY</v>
      </c>
      <c r="T3" t="str">
        <f t="shared" ref="T3:T31" si="8">IF(AND(C3="FINANCE",E3&gt;90000),"HIGH PAID SALARY","")</f>
        <v/>
      </c>
      <c r="U3" t="str" cm="1">
        <f t="array" ref="U3">_xlfn.IFS(C3="IT","REVENUE DEPT",C3="SALES","REVENUE DEPT","TRUE","")</f>
        <v/>
      </c>
      <c r="V3" t="str" cm="1">
        <f t="array" ref="V3">_xlfn.IFS(C5&lt;35,"YOUNG STAR",G5="EXCELLENT","YOUNG STAR","TRUE","")</f>
        <v/>
      </c>
      <c r="W3" t="str">
        <f t="shared" ref="W3:W31" si="9">IF(H3&lt;&gt;"CHICAGO","NON-CHICAGO","")</f>
        <v/>
      </c>
      <c r="X3" t="str" cm="1">
        <f t="array" ref="X3">_xlfn.IFS(F3&lt;=5,"MID-LEVEL",F3&gt;=10,"MID-LEVEL","TRUE","")</f>
        <v/>
      </c>
      <c r="Y3" t="str">
        <f t="shared" ref="Y3:Y31" si="10">IF(AND(C3="SALES",OR(G3="EXCELLENT",E3&gt;75000)),"ELITE SALES","")</f>
        <v/>
      </c>
      <c r="Z3" t="str">
        <f t="shared" ref="Z3:Z31" si="11">IF(AND(C3="HR",F3&gt;5),"SENIOR HR","")</f>
        <v>SENIOR HR</v>
      </c>
      <c r="AA3" t="str">
        <f t="shared" ref="AA3:AA30" si="12">IF(OR(G3="POOR",E3&lt;40000),"NEEDS REVIEW","")</f>
        <v/>
      </c>
      <c r="AB3" t="str">
        <f t="shared" ref="AB3:AB33" si="13">IF(AND(H3="BOSTON",OR(D3&gt;35,G3="EXCELLENT")),"BOSTON LEADER","")</f>
        <v/>
      </c>
    </row>
    <row r="4" spans="1:28" ht="18" x14ac:dyDescent="0.3">
      <c r="A4" s="2" t="s">
        <v>3</v>
      </c>
      <c r="B4" s="2" t="s">
        <v>34</v>
      </c>
      <c r="C4" s="2" t="s">
        <v>65</v>
      </c>
      <c r="D4" s="2">
        <v>40</v>
      </c>
      <c r="E4" s="2">
        <v>72000</v>
      </c>
      <c r="F4" s="2">
        <v>12</v>
      </c>
      <c r="G4" s="2" t="s">
        <v>73</v>
      </c>
      <c r="H4" s="2" t="s">
        <v>78</v>
      </c>
      <c r="I4" t="str">
        <f t="shared" si="0"/>
        <v>High</v>
      </c>
      <c r="J4" t="str">
        <f t="shared" si="1"/>
        <v>Regular</v>
      </c>
      <c r="K4" t="str">
        <f>IF(C4&lt;&gt;"IT","NON-IT","")</f>
        <v/>
      </c>
      <c r="L4" t="str">
        <f t="shared" si="2"/>
        <v>Other</v>
      </c>
      <c r="M4" t="str">
        <f t="shared" si="3"/>
        <v>NO BONUS</v>
      </c>
      <c r="N4" t="str">
        <f t="shared" si="4"/>
        <v>EXPERIENCED</v>
      </c>
      <c r="O4" t="str">
        <f t="shared" si="5"/>
        <v/>
      </c>
      <c r="P4" t="str">
        <f t="shared" si="6"/>
        <v/>
      </c>
      <c r="Q4" t="str" cm="1">
        <f t="array" ref="Q4">_xlfn.IFS(H4="NEW YORK","NY GOOD PERFORMER",G4="GOOD","NY  GOOD PERFORMER","TRUE","")</f>
        <v/>
      </c>
      <c r="R4" t="str" cm="1">
        <f t="array" ref="R4">_xlfn.IFS(E4&lt;=60000,"Below or Equal 60k", TRUE,"")</f>
        <v/>
      </c>
      <c r="S4" t="str">
        <f t="shared" si="7"/>
        <v>SATISFACTORY</v>
      </c>
      <c r="T4" t="str">
        <f t="shared" si="8"/>
        <v/>
      </c>
      <c r="U4" t="str" cm="1">
        <f t="array" ref="U4">_xlfn.IFS(C4="IT","REVENUE DEPT",C4="SALES","REVENUE DEPT","TRUE","")</f>
        <v>REVENUE DEPT</v>
      </c>
      <c r="V4" t="str" cm="1">
        <f t="array" ref="V4">_xlfn.IFS(C6&lt;35,"YOUNG STAR",G6="EXCELLENT","YOUNG STAR","TRUE","")</f>
        <v>YOUNG STAR</v>
      </c>
      <c r="W4" t="str">
        <f t="shared" si="9"/>
        <v>NON-CHICAGO</v>
      </c>
      <c r="X4" t="str" cm="1">
        <f t="array" ref="X4">_xlfn.IFS(F4&lt;=5,"MID-LEVEL",F4&gt;=10,"MID-LEVEL","TRUE","")</f>
        <v>MID-LEVEL</v>
      </c>
      <c r="Y4" t="str">
        <f t="shared" si="10"/>
        <v/>
      </c>
      <c r="Z4" t="str">
        <f t="shared" si="11"/>
        <v/>
      </c>
      <c r="AA4" t="str">
        <f t="shared" si="12"/>
        <v/>
      </c>
      <c r="AB4" t="str">
        <f t="shared" si="13"/>
        <v/>
      </c>
    </row>
    <row r="5" spans="1:28" ht="18" x14ac:dyDescent="0.3">
      <c r="A5" s="2" t="s">
        <v>4</v>
      </c>
      <c r="B5" s="2" t="s">
        <v>35</v>
      </c>
      <c r="C5" s="2" t="s">
        <v>66</v>
      </c>
      <c r="D5" s="2">
        <v>29</v>
      </c>
      <c r="E5" s="2">
        <v>48000</v>
      </c>
      <c r="F5" s="2">
        <v>4</v>
      </c>
      <c r="G5" s="2" t="s">
        <v>71</v>
      </c>
      <c r="H5" s="2" t="s">
        <v>76</v>
      </c>
      <c r="I5" t="str">
        <f t="shared" si="0"/>
        <v>Low</v>
      </c>
      <c r="J5" t="str">
        <f t="shared" si="1"/>
        <v>Regular</v>
      </c>
      <c r="K5" t="str">
        <f>IF(C5&lt;&gt;"IT","NON-IT","")</f>
        <v>NON-IT</v>
      </c>
      <c r="L5" t="str">
        <f t="shared" si="2"/>
        <v>Admin Dept</v>
      </c>
      <c r="M5" t="str">
        <f t="shared" si="3"/>
        <v>NO BONUS</v>
      </c>
      <c r="N5" t="str">
        <f t="shared" si="4"/>
        <v>YOUNG</v>
      </c>
      <c r="O5" t="str">
        <f t="shared" si="5"/>
        <v>JUNIOR LOW PAY</v>
      </c>
      <c r="P5" t="str">
        <f t="shared" si="6"/>
        <v/>
      </c>
      <c r="Q5" t="str" cm="1">
        <f t="array" ref="Q5">_xlfn.IFS(H5="NEW YORK","NY GOOD PERFORMER",G5="GOOD","NY  GOOD PERFORMER","TRUE","")</f>
        <v>NY GOOD PERFORMER</v>
      </c>
      <c r="R5" t="str" cm="1">
        <f t="array" ref="R5">_xlfn.IFS(E5&lt;=60000,"Below or Equal 60k", TRUE,"")</f>
        <v>Below or Equal 60k</v>
      </c>
      <c r="S5" t="str">
        <f t="shared" si="7"/>
        <v>SATISFACTORY</v>
      </c>
      <c r="T5" t="str">
        <f t="shared" si="8"/>
        <v/>
      </c>
      <c r="U5" t="str" cm="1">
        <f t="array" ref="U5">_xlfn.IFS(C5="IT","REVENUE DEPT",C5="SALES","REVENUE DEPT","TRUE","")</f>
        <v/>
      </c>
      <c r="V5" t="str" cm="1">
        <f t="array" ref="V5">_xlfn.IFS(C7&lt;35,"YOUNG STAR",G7="EXCELLENT","YOUNG STAR","TRUE","")</f>
        <v>YOUNG STAR</v>
      </c>
      <c r="W5" t="str">
        <f t="shared" si="9"/>
        <v>NON-CHICAGO</v>
      </c>
      <c r="X5" t="str" cm="1">
        <f t="array" ref="X5">_xlfn.IFS(F5&lt;=5,"MID-LEVEL",F5&gt;=10,"MID-LEVEL","TRUE","")</f>
        <v>MID-LEVEL</v>
      </c>
      <c r="Y5" t="str">
        <f t="shared" si="10"/>
        <v/>
      </c>
      <c r="Z5" t="str">
        <f t="shared" si="11"/>
        <v/>
      </c>
      <c r="AA5" t="str">
        <f t="shared" si="12"/>
        <v/>
      </c>
      <c r="AB5" t="str">
        <f t="shared" si="13"/>
        <v/>
      </c>
    </row>
    <row r="6" spans="1:28" ht="18" x14ac:dyDescent="0.3">
      <c r="A6" s="2" t="s">
        <v>5</v>
      </c>
      <c r="B6" s="2" t="s">
        <v>36</v>
      </c>
      <c r="C6" s="2" t="s">
        <v>65</v>
      </c>
      <c r="D6" s="2">
        <v>32</v>
      </c>
      <c r="E6" s="2">
        <v>65000</v>
      </c>
      <c r="F6" s="2">
        <v>6</v>
      </c>
      <c r="G6" s="2" t="s">
        <v>72</v>
      </c>
      <c r="H6" s="2" t="s">
        <v>79</v>
      </c>
      <c r="I6" t="str">
        <f t="shared" si="0"/>
        <v>High</v>
      </c>
      <c r="J6" t="str">
        <f t="shared" si="1"/>
        <v>Regular</v>
      </c>
      <c r="K6" t="str">
        <f>IF(C6&lt;&gt;"IT","NON-IT","")</f>
        <v/>
      </c>
      <c r="L6" t="str">
        <f t="shared" si="2"/>
        <v>Other</v>
      </c>
      <c r="M6" t="str">
        <f t="shared" si="3"/>
        <v>BONUS</v>
      </c>
      <c r="N6" t="str">
        <f t="shared" si="4"/>
        <v>EXPERIENCED</v>
      </c>
      <c r="O6" t="str">
        <f t="shared" si="5"/>
        <v/>
      </c>
      <c r="P6" t="str">
        <f t="shared" si="6"/>
        <v/>
      </c>
      <c r="Q6" t="str" cm="1">
        <f t="array" ref="Q6">_xlfn.IFS(H6="NEW YORK","NY GOOD PERFORMER",G6="GOOD","NY  GOOD PERFORMER","TRUE","")</f>
        <v/>
      </c>
      <c r="R6" t="str" cm="1">
        <f t="array" ref="R6">_xlfn.IFS(E6&lt;=60000,"Below or Equal 60k", TRUE,"")</f>
        <v/>
      </c>
      <c r="S6" t="str">
        <f t="shared" si="7"/>
        <v>SATISFACTORY</v>
      </c>
      <c r="T6" t="str">
        <f t="shared" si="8"/>
        <v/>
      </c>
      <c r="U6" t="str" cm="1">
        <f t="array" ref="U6">_xlfn.IFS(C6="IT","REVENUE DEPT",C6="SALES","REVENUE DEPT","TRUE","")</f>
        <v>REVENUE DEPT</v>
      </c>
      <c r="V6" t="str" cm="1">
        <f t="array" ref="V6">_xlfn.IFS(C8&lt;35,"YOUNG STAR",G8="EXCELLENT","YOUNG STAR","TRUE","")</f>
        <v/>
      </c>
      <c r="W6" t="str">
        <f t="shared" si="9"/>
        <v>NON-CHICAGO</v>
      </c>
      <c r="X6" t="str" cm="1">
        <f t="array" ref="X6">_xlfn.IFS(F6&lt;=5,"MID-LEVEL",F6&gt;=10,"MID-LEVEL","TRUE","")</f>
        <v/>
      </c>
      <c r="Y6" t="str">
        <f t="shared" si="10"/>
        <v/>
      </c>
      <c r="Z6" t="str">
        <f t="shared" si="11"/>
        <v/>
      </c>
      <c r="AA6" t="str">
        <f t="shared" si="12"/>
        <v/>
      </c>
      <c r="AB6" t="str">
        <f t="shared" si="13"/>
        <v>BOSTON LEADER</v>
      </c>
    </row>
    <row r="7" spans="1:28" ht="18" x14ac:dyDescent="0.3">
      <c r="A7" s="2" t="s">
        <v>6</v>
      </c>
      <c r="B7" s="2" t="s">
        <v>37</v>
      </c>
      <c r="C7" s="2" t="s">
        <v>63</v>
      </c>
      <c r="D7" s="2">
        <v>45</v>
      </c>
      <c r="E7" s="2">
        <v>80000</v>
      </c>
      <c r="F7" s="2">
        <v>15</v>
      </c>
      <c r="G7" s="2" t="s">
        <v>72</v>
      </c>
      <c r="H7" s="2" t="s">
        <v>77</v>
      </c>
      <c r="I7" t="str">
        <f t="shared" si="0"/>
        <v>High</v>
      </c>
      <c r="J7" t="str">
        <f t="shared" si="1"/>
        <v>Top sales</v>
      </c>
      <c r="K7" t="str">
        <f>IF(C7&lt;&gt;"IT","NON-IT","")</f>
        <v>NON-IT</v>
      </c>
      <c r="L7" t="str">
        <f t="shared" si="2"/>
        <v>Other</v>
      </c>
      <c r="M7" t="str">
        <f t="shared" si="3"/>
        <v>BONUS</v>
      </c>
      <c r="N7" t="str">
        <f t="shared" si="4"/>
        <v>EXPERIENCED</v>
      </c>
      <c r="O7" t="str">
        <f t="shared" si="5"/>
        <v/>
      </c>
      <c r="P7" t="str">
        <f t="shared" si="6"/>
        <v>SENIOR</v>
      </c>
      <c r="Q7" t="str" cm="1">
        <f t="array" ref="Q7">_xlfn.IFS(H7="NEW YORK","NY GOOD PERFORMER",G7="GOOD","NY  GOOD PERFORMER","TRUE","")</f>
        <v/>
      </c>
      <c r="R7" t="str" cm="1">
        <f t="array" ref="R7">_xlfn.IFS(E7&lt;=60000,"Below or Equal 60k", TRUE,"")</f>
        <v/>
      </c>
      <c r="S7" t="str">
        <f t="shared" si="7"/>
        <v>SATISFACTORY</v>
      </c>
      <c r="T7" t="str">
        <f t="shared" si="8"/>
        <v/>
      </c>
      <c r="U7" t="str" cm="1">
        <f t="array" ref="U7">_xlfn.IFS(C7="IT","REVENUE DEPT",C7="SALES","REVENUE DEPT","TRUE","")</f>
        <v>REVENUE DEPT</v>
      </c>
      <c r="V7" t="str" cm="1">
        <f t="array" ref="V7">_xlfn.IFS(C9&lt;35,"YOUNG STAR",G9="EXCELLENT","YOUNG STAR","TRUE","")</f>
        <v>YOUNG STAR</v>
      </c>
      <c r="W7" t="str">
        <f t="shared" si="9"/>
        <v/>
      </c>
      <c r="X7" t="str" cm="1">
        <f t="array" ref="X7">_xlfn.IFS(F7&lt;=5,"MID-LEVEL",F7&gt;=10,"MID-LEVEL","TRUE","")</f>
        <v>MID-LEVEL</v>
      </c>
      <c r="Y7" t="str">
        <f t="shared" si="10"/>
        <v>ELITE SALES</v>
      </c>
      <c r="Z7" t="str">
        <f t="shared" si="11"/>
        <v/>
      </c>
      <c r="AA7" t="str">
        <f t="shared" si="12"/>
        <v/>
      </c>
      <c r="AB7" t="str">
        <f t="shared" si="13"/>
        <v/>
      </c>
    </row>
    <row r="8" spans="1:28" ht="18" x14ac:dyDescent="0.3">
      <c r="A8" s="2" t="s">
        <v>7</v>
      </c>
      <c r="B8" s="2" t="s">
        <v>38</v>
      </c>
      <c r="C8" s="2" t="s">
        <v>64</v>
      </c>
      <c r="D8" s="2">
        <v>27</v>
      </c>
      <c r="E8" s="2">
        <v>39000</v>
      </c>
      <c r="F8" s="2">
        <v>2</v>
      </c>
      <c r="G8" s="2" t="s">
        <v>74</v>
      </c>
      <c r="H8" s="2" t="s">
        <v>78</v>
      </c>
      <c r="I8" t="str">
        <f t="shared" si="0"/>
        <v>Low</v>
      </c>
      <c r="J8" t="str">
        <f t="shared" si="1"/>
        <v>Regular</v>
      </c>
      <c r="K8" t="str">
        <f>IF(C8&lt;&gt;"IT","NON-IT","")</f>
        <v>NON-IT</v>
      </c>
      <c r="L8" t="str">
        <f t="shared" si="2"/>
        <v>Admin Dept</v>
      </c>
      <c r="M8" t="str">
        <f t="shared" si="3"/>
        <v>NO BONUS</v>
      </c>
      <c r="N8" t="str">
        <f t="shared" si="4"/>
        <v>YOUNG</v>
      </c>
      <c r="O8" t="str">
        <f t="shared" si="5"/>
        <v>JUNIOR LOW PAY</v>
      </c>
      <c r="P8" t="str">
        <f t="shared" si="6"/>
        <v/>
      </c>
      <c r="Q8" t="str" cm="1">
        <f t="array" ref="Q8">_xlfn.IFS(H8="NEW YORK","NY GOOD PERFORMER",G8="GOOD","NY  GOOD PERFORMER","TRUE","")</f>
        <v/>
      </c>
      <c r="R8" t="str" cm="1">
        <f t="array" ref="R8">_xlfn.IFS(E8&lt;=60000,"Below or Equal 60k", TRUE,"")</f>
        <v>Below or Equal 60k</v>
      </c>
      <c r="S8" t="str">
        <f t="shared" si="7"/>
        <v>NEEDS IMPROVEMENT</v>
      </c>
      <c r="T8" t="str">
        <f t="shared" si="8"/>
        <v/>
      </c>
      <c r="U8" t="str" cm="1">
        <f t="array" ref="U8">_xlfn.IFS(C8="IT","REVENUE DEPT",C8="SALES","REVENUE DEPT","TRUE","")</f>
        <v/>
      </c>
      <c r="V8" t="str" cm="1">
        <f t="array" ref="V8">_xlfn.IFS(C10&lt;35,"YOUNG STAR",G10="EXCELLENT","YOUNG STAR","TRUE","")</f>
        <v/>
      </c>
      <c r="W8" t="str">
        <f t="shared" si="9"/>
        <v>NON-CHICAGO</v>
      </c>
      <c r="X8" t="str" cm="1">
        <f t="array" ref="X8">_xlfn.IFS(F8&lt;=5,"MID-LEVEL",F8&gt;=10,"MID-LEVEL","TRUE","")</f>
        <v>MID-LEVEL</v>
      </c>
      <c r="Y8" t="str">
        <f t="shared" si="10"/>
        <v/>
      </c>
      <c r="Z8" t="str">
        <f t="shared" si="11"/>
        <v/>
      </c>
      <c r="AA8" t="str">
        <f t="shared" si="12"/>
        <v>NEEDS REVIEW</v>
      </c>
      <c r="AB8" t="str">
        <f t="shared" si="13"/>
        <v/>
      </c>
    </row>
    <row r="9" spans="1:28" ht="18" x14ac:dyDescent="0.3">
      <c r="A9" s="2" t="s">
        <v>8</v>
      </c>
      <c r="B9" s="2" t="s">
        <v>39</v>
      </c>
      <c r="C9" s="2" t="s">
        <v>66</v>
      </c>
      <c r="D9" s="2">
        <v>50</v>
      </c>
      <c r="E9" s="2">
        <v>95000</v>
      </c>
      <c r="F9" s="2">
        <v>20</v>
      </c>
      <c r="G9" s="2" t="s">
        <v>72</v>
      </c>
      <c r="H9" s="2" t="s">
        <v>76</v>
      </c>
      <c r="I9" t="str">
        <f t="shared" si="0"/>
        <v>High</v>
      </c>
      <c r="J9" t="str">
        <f t="shared" si="1"/>
        <v>Regular</v>
      </c>
      <c r="K9" t="str">
        <f t="shared" ref="K9:K31" si="14">IF(C9&lt;&gt;"IT","NON-IT","")</f>
        <v>NON-IT</v>
      </c>
      <c r="L9" t="str">
        <f t="shared" si="2"/>
        <v>Admin Dept</v>
      </c>
      <c r="M9" t="str">
        <f t="shared" si="3"/>
        <v>BONUS</v>
      </c>
      <c r="N9" t="str">
        <f t="shared" si="4"/>
        <v>EXPERIENCED</v>
      </c>
      <c r="O9" t="str">
        <f t="shared" si="5"/>
        <v/>
      </c>
      <c r="P9" t="str">
        <f t="shared" si="6"/>
        <v>SENIOR</v>
      </c>
      <c r="Q9" t="str" cm="1">
        <f t="array" ref="Q9">_xlfn.IFS(H9="NEW YORK","NY GOOD PERFORMER",G9="GOOD","NY  GOOD PERFORMER","TRUE","")</f>
        <v>NY GOOD PERFORMER</v>
      </c>
      <c r="R9" t="str" cm="1">
        <f t="array" ref="R9">_xlfn.IFS(E9&lt;=60000,"Below or Equal 60k", TRUE,"")</f>
        <v/>
      </c>
      <c r="S9" t="str">
        <f t="shared" si="7"/>
        <v>SATISFACTORY</v>
      </c>
      <c r="T9" t="str">
        <f t="shared" si="8"/>
        <v>HIGH PAID SALARY</v>
      </c>
      <c r="U9" t="str" cm="1">
        <f t="array" ref="U9">_xlfn.IFS(C9="IT","REVENUE DEPT",C9="SALES","REVENUE DEPT","TRUE","")</f>
        <v/>
      </c>
      <c r="V9" t="str" cm="1">
        <f t="array" ref="V9">_xlfn.IFS(C11&lt;35,"YOUNG STAR",G11="EXCELLENT","YOUNG STAR","TRUE","")</f>
        <v/>
      </c>
      <c r="W9" t="str">
        <f t="shared" si="9"/>
        <v>NON-CHICAGO</v>
      </c>
      <c r="X9" t="str" cm="1">
        <f t="array" ref="X9">_xlfn.IFS(F9&lt;=5,"MID-LEVEL",F9&gt;=10,"MID-LEVEL","TRUE","")</f>
        <v>MID-LEVEL</v>
      </c>
      <c r="Y9" t="str">
        <f t="shared" si="10"/>
        <v/>
      </c>
      <c r="Z9" t="str">
        <f t="shared" si="11"/>
        <v/>
      </c>
      <c r="AA9" t="str">
        <f t="shared" si="12"/>
        <v/>
      </c>
      <c r="AB9" t="str">
        <f t="shared" si="13"/>
        <v/>
      </c>
    </row>
    <row r="10" spans="1:28" ht="18" x14ac:dyDescent="0.3">
      <c r="A10" s="2" t="s">
        <v>9</v>
      </c>
      <c r="B10" s="2" t="s">
        <v>40</v>
      </c>
      <c r="C10" s="2" t="s">
        <v>65</v>
      </c>
      <c r="D10" s="2">
        <v>36</v>
      </c>
      <c r="E10" s="2">
        <v>67000</v>
      </c>
      <c r="F10" s="2">
        <v>9</v>
      </c>
      <c r="G10" s="2" t="s">
        <v>71</v>
      </c>
      <c r="H10" s="2" t="s">
        <v>79</v>
      </c>
      <c r="I10" t="str">
        <f t="shared" si="0"/>
        <v>High</v>
      </c>
      <c r="J10" t="str">
        <f t="shared" si="1"/>
        <v>Regular</v>
      </c>
      <c r="K10" t="str">
        <f t="shared" si="14"/>
        <v/>
      </c>
      <c r="L10" t="str">
        <f t="shared" si="2"/>
        <v>Other</v>
      </c>
      <c r="M10" t="str">
        <f t="shared" si="3"/>
        <v>NO BONUS</v>
      </c>
      <c r="N10" t="str">
        <f t="shared" si="4"/>
        <v>EXPERIENCED</v>
      </c>
      <c r="O10" t="str">
        <f t="shared" si="5"/>
        <v/>
      </c>
      <c r="P10" t="str">
        <f t="shared" si="6"/>
        <v/>
      </c>
      <c r="Q10" t="str" cm="1">
        <f t="array" ref="Q10">_xlfn.IFS(H10="NEW YORK","NY GOOD PERFORMER",G10="GOOD","NY  GOOD PERFORMER","TRUE","")</f>
        <v>NY  GOOD PERFORMER</v>
      </c>
      <c r="R10" t="str" cm="1">
        <f t="array" ref="R10">_xlfn.IFS(E10&lt;=60000,"Below or Equal 60k", TRUE,"")</f>
        <v/>
      </c>
      <c r="S10" t="str">
        <f t="shared" si="7"/>
        <v>SATISFACTORY</v>
      </c>
      <c r="T10" t="str">
        <f t="shared" si="8"/>
        <v/>
      </c>
      <c r="U10" t="str" cm="1">
        <f t="array" ref="U10">_xlfn.IFS(C10="IT","REVENUE DEPT",C10="SALES","REVENUE DEPT","TRUE","")</f>
        <v>REVENUE DEPT</v>
      </c>
      <c r="V10" t="str" cm="1">
        <f t="array" ref="V10">_xlfn.IFS(C12&lt;35,"YOUNG STAR",G12="EXCELLENT","YOUNG STAR","TRUE","")</f>
        <v/>
      </c>
      <c r="W10" t="str">
        <f t="shared" si="9"/>
        <v>NON-CHICAGO</v>
      </c>
      <c r="X10" t="str" cm="1">
        <f t="array" ref="X10">_xlfn.IFS(F10&lt;=5,"MID-LEVEL",F10&gt;=10,"MID-LEVEL","TRUE","")</f>
        <v/>
      </c>
      <c r="Y10" t="str">
        <f t="shared" si="10"/>
        <v/>
      </c>
      <c r="Z10" t="str">
        <f t="shared" si="11"/>
        <v/>
      </c>
      <c r="AA10" t="str">
        <f t="shared" si="12"/>
        <v/>
      </c>
      <c r="AB10" t="str">
        <f t="shared" si="13"/>
        <v>BOSTON LEADER</v>
      </c>
    </row>
    <row r="11" spans="1:28" ht="18" x14ac:dyDescent="0.3">
      <c r="A11" s="2" t="s">
        <v>10</v>
      </c>
      <c r="B11" s="2" t="s">
        <v>41</v>
      </c>
      <c r="C11" s="2" t="s">
        <v>63</v>
      </c>
      <c r="D11" s="2">
        <v>41</v>
      </c>
      <c r="E11" s="2">
        <v>75000</v>
      </c>
      <c r="F11" s="2">
        <v>14</v>
      </c>
      <c r="G11" s="2" t="s">
        <v>73</v>
      </c>
      <c r="H11" s="2" t="s">
        <v>77</v>
      </c>
      <c r="I11" t="str">
        <f t="shared" si="0"/>
        <v>High</v>
      </c>
      <c r="J11" t="str">
        <f t="shared" si="1"/>
        <v>Top sales</v>
      </c>
      <c r="K11" t="str">
        <f t="shared" si="14"/>
        <v>NON-IT</v>
      </c>
      <c r="L11" t="str">
        <f t="shared" si="2"/>
        <v>Other</v>
      </c>
      <c r="M11" t="str">
        <f t="shared" si="3"/>
        <v>NO BONUS</v>
      </c>
      <c r="N11" t="str">
        <f t="shared" si="4"/>
        <v>EXPERIENCED</v>
      </c>
      <c r="O11" t="str">
        <f t="shared" si="5"/>
        <v/>
      </c>
      <c r="P11" t="str">
        <f t="shared" si="6"/>
        <v>SENIOR</v>
      </c>
      <c r="Q11" t="str" cm="1">
        <f t="array" ref="Q11">_xlfn.IFS(H11="NEW YORK","NY GOOD PERFORMER",G11="GOOD","NY  GOOD PERFORMER","TRUE","")</f>
        <v/>
      </c>
      <c r="R11" t="str" cm="1">
        <f t="array" ref="R11">_xlfn.IFS(E11&lt;=60000,"Below or Equal 60k", TRUE,"")</f>
        <v/>
      </c>
      <c r="S11" t="str">
        <f t="shared" si="7"/>
        <v>SATISFACTORY</v>
      </c>
      <c r="T11" t="str">
        <f t="shared" si="8"/>
        <v/>
      </c>
      <c r="U11" t="str" cm="1">
        <f t="array" ref="U11">_xlfn.IFS(C11="IT","REVENUE DEPT",C11="SALES","REVENUE DEPT","TRUE","")</f>
        <v>REVENUE DEPT</v>
      </c>
      <c r="V11" t="str" cm="1">
        <f t="array" ref="V11">_xlfn.IFS(C13&lt;35,"YOUNG STAR",G13="EXCELLENT","YOUNG STAR","TRUE","")</f>
        <v>YOUNG STAR</v>
      </c>
      <c r="W11" t="str">
        <f t="shared" si="9"/>
        <v/>
      </c>
      <c r="X11" t="str" cm="1">
        <f t="array" ref="X11">_xlfn.IFS(F11&lt;=5,"MID-LEVEL",F11&gt;=10,"MID-LEVEL","TRUE","")</f>
        <v>MID-LEVEL</v>
      </c>
      <c r="Y11" t="str">
        <f t="shared" si="10"/>
        <v/>
      </c>
      <c r="Z11" t="str">
        <f t="shared" si="11"/>
        <v/>
      </c>
      <c r="AA11" t="str">
        <f t="shared" si="12"/>
        <v/>
      </c>
      <c r="AB11" t="str">
        <f t="shared" si="13"/>
        <v/>
      </c>
    </row>
    <row r="12" spans="1:28" ht="18" x14ac:dyDescent="0.3">
      <c r="A12" s="2" t="s">
        <v>11</v>
      </c>
      <c r="B12" s="2" t="s">
        <v>42</v>
      </c>
      <c r="C12" s="2" t="s">
        <v>64</v>
      </c>
      <c r="D12" s="2">
        <v>30</v>
      </c>
      <c r="E12" s="2">
        <v>52000</v>
      </c>
      <c r="F12" s="2">
        <v>5</v>
      </c>
      <c r="G12" s="2" t="s">
        <v>71</v>
      </c>
      <c r="H12" s="2" t="s">
        <v>80</v>
      </c>
      <c r="I12" t="str">
        <f t="shared" si="0"/>
        <v>High</v>
      </c>
      <c r="J12" t="str">
        <f t="shared" si="1"/>
        <v>Regular</v>
      </c>
      <c r="K12" t="str">
        <f t="shared" si="14"/>
        <v>NON-IT</v>
      </c>
      <c r="L12" t="str">
        <f t="shared" si="2"/>
        <v>Admin Dept</v>
      </c>
      <c r="M12" t="str">
        <f t="shared" si="3"/>
        <v>NO BONUS</v>
      </c>
      <c r="N12" t="str">
        <f t="shared" si="4"/>
        <v>EXPERIENCED</v>
      </c>
      <c r="O12" t="str">
        <f t="shared" si="5"/>
        <v/>
      </c>
      <c r="P12" t="str">
        <f t="shared" si="6"/>
        <v/>
      </c>
      <c r="Q12" t="str" cm="1">
        <f t="array" ref="Q12">_xlfn.IFS(H12="NEW YORK","NY GOOD PERFORMER",G12="GOOD","NY  GOOD PERFORMER","TRUE","")</f>
        <v>NY  GOOD PERFORMER</v>
      </c>
      <c r="R12" t="str" cm="1">
        <f t="array" ref="R12">_xlfn.IFS(E12&lt;=60000,"Below or Equal 60k", TRUE,"")</f>
        <v>Below or Equal 60k</v>
      </c>
      <c r="S12" t="str">
        <f t="shared" si="7"/>
        <v>SATISFACTORY</v>
      </c>
      <c r="T12" t="str">
        <f t="shared" si="8"/>
        <v/>
      </c>
      <c r="U12" t="str" cm="1">
        <f t="array" ref="U12">_xlfn.IFS(C12="IT","REVENUE DEPT",C12="SALES","REVENUE DEPT","TRUE","")</f>
        <v/>
      </c>
      <c r="V12" t="str" cm="1">
        <f t="array" ref="V12">_xlfn.IFS(C14&lt;35,"YOUNG STAR",G14="EXCELLENT","YOUNG STAR","TRUE","")</f>
        <v/>
      </c>
      <c r="W12" t="str">
        <f t="shared" si="9"/>
        <v>NON-CHICAGO</v>
      </c>
      <c r="X12" t="str" cm="1">
        <f t="array" ref="X12">_xlfn.IFS(F12&lt;=5,"MID-LEVEL",F12&gt;=10,"MID-LEVEL","TRUE","")</f>
        <v>MID-LEVEL</v>
      </c>
      <c r="Y12" t="str">
        <f t="shared" si="10"/>
        <v/>
      </c>
      <c r="Z12" t="str">
        <f t="shared" si="11"/>
        <v/>
      </c>
      <c r="AA12" t="str">
        <f t="shared" si="12"/>
        <v/>
      </c>
      <c r="AB12" t="str">
        <f t="shared" si="13"/>
        <v/>
      </c>
    </row>
    <row r="13" spans="1:28" ht="18" x14ac:dyDescent="0.3">
      <c r="A13" s="2" t="s">
        <v>12</v>
      </c>
      <c r="B13" s="2" t="s">
        <v>43</v>
      </c>
      <c r="C13" s="2" t="s">
        <v>65</v>
      </c>
      <c r="D13" s="2">
        <v>26</v>
      </c>
      <c r="E13" s="2">
        <v>58000</v>
      </c>
      <c r="F13" s="2">
        <v>4</v>
      </c>
      <c r="G13" s="2" t="s">
        <v>72</v>
      </c>
      <c r="H13" s="2" t="s">
        <v>76</v>
      </c>
      <c r="I13" t="str">
        <f t="shared" si="0"/>
        <v>High</v>
      </c>
      <c r="J13" t="str">
        <f t="shared" si="1"/>
        <v>Regular</v>
      </c>
      <c r="K13" t="str">
        <f t="shared" si="14"/>
        <v/>
      </c>
      <c r="L13" t="str">
        <f t="shared" si="2"/>
        <v>Other</v>
      </c>
      <c r="M13" t="str">
        <f t="shared" si="3"/>
        <v>BONUS</v>
      </c>
      <c r="N13" t="str">
        <f t="shared" si="4"/>
        <v>YOUNG</v>
      </c>
      <c r="O13" t="str">
        <f t="shared" si="5"/>
        <v/>
      </c>
      <c r="P13" t="str">
        <f t="shared" si="6"/>
        <v/>
      </c>
      <c r="Q13" t="str" cm="1">
        <f t="array" ref="Q13">_xlfn.IFS(H13="NEW YORK","NY GOOD PERFORMER",G13="GOOD","NY  GOOD PERFORMER","TRUE","")</f>
        <v>NY GOOD PERFORMER</v>
      </c>
      <c r="R13" t="str" cm="1">
        <f t="array" ref="R13">_xlfn.IFS(E13&lt;=60000,"Below or Equal 60k", TRUE,"")</f>
        <v>Below or Equal 60k</v>
      </c>
      <c r="S13" t="str">
        <f t="shared" si="7"/>
        <v>SATISFACTORY</v>
      </c>
      <c r="T13" t="str">
        <f t="shared" si="8"/>
        <v/>
      </c>
      <c r="U13" t="str" cm="1">
        <f t="array" ref="U13">_xlfn.IFS(C13="IT","REVENUE DEPT",C13="SALES","REVENUE DEPT","TRUE","")</f>
        <v>REVENUE DEPT</v>
      </c>
      <c r="V13" t="str" cm="1">
        <f t="array" ref="V13">_xlfn.IFS(C15&lt;35,"YOUNG STAR",G15="EXCELLENT","YOUNG STAR","TRUE","")</f>
        <v/>
      </c>
      <c r="W13" t="str">
        <f t="shared" si="9"/>
        <v>NON-CHICAGO</v>
      </c>
      <c r="X13" t="str" cm="1">
        <f t="array" ref="X13">_xlfn.IFS(F13&lt;=5,"MID-LEVEL",F13&gt;=10,"MID-LEVEL","TRUE","")</f>
        <v>MID-LEVEL</v>
      </c>
      <c r="Y13" t="str">
        <f t="shared" si="10"/>
        <v/>
      </c>
      <c r="Z13" t="str">
        <f t="shared" si="11"/>
        <v/>
      </c>
      <c r="AA13" t="str">
        <f t="shared" si="12"/>
        <v/>
      </c>
      <c r="AB13" t="str">
        <f t="shared" si="13"/>
        <v/>
      </c>
    </row>
    <row r="14" spans="1:28" ht="18" x14ac:dyDescent="0.3">
      <c r="A14" s="2" t="s">
        <v>13</v>
      </c>
      <c r="B14" s="2" t="s">
        <v>44</v>
      </c>
      <c r="C14" s="2" t="s">
        <v>66</v>
      </c>
      <c r="D14" s="2">
        <v>38</v>
      </c>
      <c r="E14" s="2">
        <v>72000</v>
      </c>
      <c r="F14" s="2">
        <v>11</v>
      </c>
      <c r="G14" s="2" t="s">
        <v>74</v>
      </c>
      <c r="H14" s="2" t="s">
        <v>79</v>
      </c>
      <c r="I14" t="str">
        <f t="shared" si="0"/>
        <v>High</v>
      </c>
      <c r="J14" t="str">
        <f t="shared" si="1"/>
        <v>Regular</v>
      </c>
      <c r="K14" t="str">
        <f t="shared" si="14"/>
        <v>NON-IT</v>
      </c>
      <c r="L14" t="str">
        <f t="shared" si="2"/>
        <v>Admin Dept</v>
      </c>
      <c r="M14" t="str">
        <f t="shared" si="3"/>
        <v>NO BONUS</v>
      </c>
      <c r="N14" t="str">
        <f t="shared" si="4"/>
        <v>EXPERIENCED</v>
      </c>
      <c r="O14" t="str">
        <f t="shared" si="5"/>
        <v/>
      </c>
      <c r="P14" t="str">
        <f t="shared" si="6"/>
        <v/>
      </c>
      <c r="Q14" t="str" cm="1">
        <f t="array" ref="Q14">_xlfn.IFS(H14="NEW YORK","NY GOOD PERFORMER",G14="GOOD","NY  GOOD PERFORMER","TRUE","")</f>
        <v/>
      </c>
      <c r="R14" t="str" cm="1">
        <f t="array" ref="R14">_xlfn.IFS(E14&lt;=60000,"Below or Equal 60k", TRUE,"")</f>
        <v/>
      </c>
      <c r="S14" t="str">
        <f t="shared" si="7"/>
        <v>NEEDS IMPROVEMENT</v>
      </c>
      <c r="T14" t="str">
        <f t="shared" si="8"/>
        <v/>
      </c>
      <c r="U14" t="str" cm="1">
        <f t="array" ref="U14">_xlfn.IFS(C14="IT","REVENUE DEPT",C14="SALES","REVENUE DEPT","TRUE","")</f>
        <v/>
      </c>
      <c r="V14" t="str" cm="1">
        <f t="array" ref="V14">_xlfn.IFS(C16&lt;35,"YOUNG STAR",G16="EXCELLENT","YOUNG STAR","TRUE","")</f>
        <v>YOUNG STAR</v>
      </c>
      <c r="W14" t="str">
        <f t="shared" si="9"/>
        <v>NON-CHICAGO</v>
      </c>
      <c r="X14" t="str" cm="1">
        <f t="array" ref="X14">_xlfn.IFS(F14&lt;=5,"MID-LEVEL",F14&gt;=10,"MID-LEVEL","TRUE","")</f>
        <v>MID-LEVEL</v>
      </c>
      <c r="Y14" t="str">
        <f t="shared" si="10"/>
        <v/>
      </c>
      <c r="Z14" t="str">
        <f t="shared" si="11"/>
        <v/>
      </c>
      <c r="AA14" t="str">
        <f t="shared" si="12"/>
        <v>NEEDS REVIEW</v>
      </c>
      <c r="AB14" t="str">
        <f t="shared" si="13"/>
        <v>BOSTON LEADER</v>
      </c>
    </row>
    <row r="15" spans="1:28" ht="18" x14ac:dyDescent="0.3">
      <c r="A15" s="2" t="s">
        <v>14</v>
      </c>
      <c r="B15" s="2" t="s">
        <v>45</v>
      </c>
      <c r="C15" s="2" t="s">
        <v>63</v>
      </c>
      <c r="D15" s="2">
        <v>34</v>
      </c>
      <c r="E15" s="2">
        <v>61000</v>
      </c>
      <c r="F15" s="2">
        <v>8</v>
      </c>
      <c r="G15" s="2" t="s">
        <v>71</v>
      </c>
      <c r="H15" s="2" t="s">
        <v>78</v>
      </c>
      <c r="I15" t="str">
        <f t="shared" si="0"/>
        <v>High</v>
      </c>
      <c r="J15" t="str">
        <f t="shared" si="1"/>
        <v>Top sales</v>
      </c>
      <c r="K15" t="str">
        <f t="shared" si="14"/>
        <v>NON-IT</v>
      </c>
      <c r="L15" t="str">
        <f t="shared" si="2"/>
        <v>Other</v>
      </c>
      <c r="M15" t="str">
        <f t="shared" si="3"/>
        <v>NO BONUS</v>
      </c>
      <c r="N15" t="str">
        <f t="shared" si="4"/>
        <v>EXPERIENCED</v>
      </c>
      <c r="O15" t="str">
        <f t="shared" si="5"/>
        <v/>
      </c>
      <c r="P15" t="str">
        <f t="shared" si="6"/>
        <v/>
      </c>
      <c r="Q15" t="str" cm="1">
        <f t="array" ref="Q15">_xlfn.IFS(H15="NEW YORK","NY GOOD PERFORMER",G15="GOOD","NY  GOOD PERFORMER","TRUE","")</f>
        <v>NY  GOOD PERFORMER</v>
      </c>
      <c r="R15" t="str" cm="1">
        <f t="array" ref="R15">_xlfn.IFS(E15&lt;=60000,"Below or Equal 60k", TRUE,"")</f>
        <v/>
      </c>
      <c r="S15" t="str">
        <f t="shared" si="7"/>
        <v>SATISFACTORY</v>
      </c>
      <c r="T15" t="str">
        <f t="shared" si="8"/>
        <v/>
      </c>
      <c r="U15" t="str" cm="1">
        <f t="array" ref="U15">_xlfn.IFS(C15="IT","REVENUE DEPT",C15="SALES","REVENUE DEPT","TRUE","")</f>
        <v>REVENUE DEPT</v>
      </c>
      <c r="V15" t="str" cm="1">
        <f t="array" ref="V15">_xlfn.IFS(C17&lt;35,"YOUNG STAR",G17="EXCELLENT","YOUNG STAR","TRUE","")</f>
        <v/>
      </c>
      <c r="W15" t="str">
        <f t="shared" si="9"/>
        <v>NON-CHICAGO</v>
      </c>
      <c r="X15" t="str" cm="1">
        <f t="array" ref="X15">_xlfn.IFS(F15&lt;=5,"MID-LEVEL",F15&gt;=10,"MID-LEVEL","TRUE","")</f>
        <v/>
      </c>
      <c r="Y15" t="str">
        <f t="shared" si="10"/>
        <v/>
      </c>
      <c r="Z15" t="str">
        <f t="shared" si="11"/>
        <v/>
      </c>
      <c r="AA15" t="str">
        <f t="shared" si="12"/>
        <v/>
      </c>
      <c r="AB15" t="str">
        <f t="shared" si="13"/>
        <v/>
      </c>
    </row>
    <row r="16" spans="1:28" ht="18" x14ac:dyDescent="0.3">
      <c r="A16" s="2" t="s">
        <v>15</v>
      </c>
      <c r="B16" s="2" t="s">
        <v>46</v>
      </c>
      <c r="C16" s="2" t="s">
        <v>64</v>
      </c>
      <c r="D16" s="2">
        <v>42</v>
      </c>
      <c r="E16" s="2">
        <v>68000</v>
      </c>
      <c r="F16" s="2">
        <v>16</v>
      </c>
      <c r="G16" s="2" t="s">
        <v>72</v>
      </c>
      <c r="H16" s="2" t="s">
        <v>77</v>
      </c>
      <c r="I16" t="str">
        <f t="shared" si="0"/>
        <v>High</v>
      </c>
      <c r="J16" t="str">
        <f t="shared" si="1"/>
        <v>Regular</v>
      </c>
      <c r="K16" t="str">
        <f t="shared" si="14"/>
        <v>NON-IT</v>
      </c>
      <c r="L16" t="str">
        <f t="shared" si="2"/>
        <v>Admin Dept</v>
      </c>
      <c r="M16" t="str">
        <f t="shared" si="3"/>
        <v>BONUS</v>
      </c>
      <c r="N16" t="str">
        <f t="shared" si="4"/>
        <v>EXPERIENCED</v>
      </c>
      <c r="O16" t="str">
        <f t="shared" si="5"/>
        <v/>
      </c>
      <c r="P16" t="str">
        <f t="shared" si="6"/>
        <v>SENIOR</v>
      </c>
      <c r="Q16" t="str" cm="1">
        <f t="array" ref="Q16">_xlfn.IFS(H16="NEW YORK","NY GOOD PERFORMER",G16="GOOD","NY  GOOD PERFORMER","TRUE","")</f>
        <v/>
      </c>
      <c r="R16" t="str" cm="1">
        <f t="array" ref="R16">_xlfn.IFS(E16&lt;=60000,"Below or Equal 60k", TRUE,"")</f>
        <v/>
      </c>
      <c r="S16" t="str">
        <f t="shared" si="7"/>
        <v>SATISFACTORY</v>
      </c>
      <c r="T16" t="str">
        <f t="shared" si="8"/>
        <v/>
      </c>
      <c r="U16" t="str" cm="1">
        <f t="array" ref="U16">_xlfn.IFS(C16="IT","REVENUE DEPT",C16="SALES","REVENUE DEPT","TRUE","")</f>
        <v/>
      </c>
      <c r="V16" t="str" cm="1">
        <f t="array" ref="V16">_xlfn.IFS(C18&lt;35,"YOUNG STAR",G18="EXCELLENT","YOUNG STAR","TRUE","")</f>
        <v>YOUNG STAR</v>
      </c>
      <c r="W16" t="str">
        <f t="shared" si="9"/>
        <v/>
      </c>
      <c r="X16" t="str" cm="1">
        <f t="array" ref="X16">_xlfn.IFS(F16&lt;=5,"MID-LEVEL",F16&gt;=10,"MID-LEVEL","TRUE","")</f>
        <v>MID-LEVEL</v>
      </c>
      <c r="Y16" t="str">
        <f t="shared" si="10"/>
        <v/>
      </c>
      <c r="Z16" t="str">
        <f t="shared" si="11"/>
        <v>SENIOR HR</v>
      </c>
      <c r="AA16" t="str">
        <f t="shared" si="12"/>
        <v/>
      </c>
      <c r="AB16" t="str">
        <f t="shared" si="13"/>
        <v/>
      </c>
    </row>
    <row r="17" spans="1:28" ht="18" x14ac:dyDescent="0.3">
      <c r="A17" s="2" t="s">
        <v>16</v>
      </c>
      <c r="B17" s="2" t="s">
        <v>47</v>
      </c>
      <c r="C17" s="2" t="s">
        <v>65</v>
      </c>
      <c r="D17" s="2">
        <v>29</v>
      </c>
      <c r="E17" s="2">
        <v>54000</v>
      </c>
      <c r="F17" s="2">
        <v>3</v>
      </c>
      <c r="G17" s="2" t="s">
        <v>71</v>
      </c>
      <c r="H17" s="2" t="s">
        <v>80</v>
      </c>
      <c r="I17" t="str">
        <f t="shared" si="0"/>
        <v>High</v>
      </c>
      <c r="J17" t="str">
        <f t="shared" si="1"/>
        <v>Regular</v>
      </c>
      <c r="K17" t="str">
        <f t="shared" si="14"/>
        <v/>
      </c>
      <c r="L17" t="str">
        <f>IF(OR(C17="HR",C17="FINANCE"),"Admin Dept","Other")</f>
        <v>Other</v>
      </c>
      <c r="M17" t="str">
        <f t="shared" si="3"/>
        <v>NO BONUS</v>
      </c>
      <c r="N17" t="str">
        <f t="shared" si="4"/>
        <v>YOUNG</v>
      </c>
      <c r="O17" t="str">
        <f t="shared" si="5"/>
        <v/>
      </c>
      <c r="P17" t="str">
        <f t="shared" si="6"/>
        <v/>
      </c>
      <c r="Q17" t="str" cm="1">
        <f t="array" ref="Q17">_xlfn.IFS(H17="NEW YORK","NY GOOD PERFORMER",G17="GOOD","NY  GOOD PERFORMER","TRUE","")</f>
        <v>NY  GOOD PERFORMER</v>
      </c>
      <c r="R17" t="str" cm="1">
        <f t="array" ref="R17">_xlfn.IFS(E17&lt;=60000,"Below or Equal 60k", TRUE,"")</f>
        <v>Below or Equal 60k</v>
      </c>
      <c r="S17" t="str">
        <f t="shared" si="7"/>
        <v>SATISFACTORY</v>
      </c>
      <c r="T17" t="str">
        <f t="shared" si="8"/>
        <v/>
      </c>
      <c r="U17" t="str" cm="1">
        <f t="array" ref="U17">_xlfn.IFS(C17="IT","REVENUE DEPT",C17="SALES","REVENUE DEPT","TRUE","")</f>
        <v>REVENUE DEPT</v>
      </c>
      <c r="V17" t="str" cm="1">
        <f t="array" ref="V17">_xlfn.IFS(C19&lt;35,"YOUNG STAR",G19="EXCELLENT","YOUNG STAR","TRUE","")</f>
        <v/>
      </c>
      <c r="W17" t="str">
        <f t="shared" si="9"/>
        <v>NON-CHICAGO</v>
      </c>
      <c r="X17" t="str" cm="1">
        <f t="array" ref="X17">_xlfn.IFS(F17&lt;=5,"MID-LEVEL",F17&gt;=10,"MID-LEVEL","TRUE","")</f>
        <v>MID-LEVEL</v>
      </c>
      <c r="Y17" t="str">
        <f t="shared" si="10"/>
        <v/>
      </c>
      <c r="Z17" t="str">
        <f t="shared" si="11"/>
        <v/>
      </c>
      <c r="AA17" t="str">
        <f t="shared" si="12"/>
        <v/>
      </c>
      <c r="AB17" t="str">
        <f t="shared" si="13"/>
        <v/>
      </c>
    </row>
    <row r="18" spans="1:28" ht="18" x14ac:dyDescent="0.3">
      <c r="A18" s="2" t="s">
        <v>17</v>
      </c>
      <c r="B18" s="2" t="s">
        <v>48</v>
      </c>
      <c r="C18" s="2" t="s">
        <v>63</v>
      </c>
      <c r="D18" s="2">
        <v>48</v>
      </c>
      <c r="E18" s="2">
        <v>90000</v>
      </c>
      <c r="F18" s="2">
        <v>20</v>
      </c>
      <c r="G18" s="2" t="s">
        <v>72</v>
      </c>
      <c r="H18" s="2" t="s">
        <v>79</v>
      </c>
      <c r="I18" t="str">
        <f t="shared" si="0"/>
        <v>High</v>
      </c>
      <c r="J18" t="str">
        <f t="shared" si="1"/>
        <v>Top sales</v>
      </c>
      <c r="K18" t="str">
        <f t="shared" si="14"/>
        <v>NON-IT</v>
      </c>
      <c r="L18" t="str">
        <f t="shared" si="2"/>
        <v>Other</v>
      </c>
      <c r="M18" t="str">
        <f t="shared" si="3"/>
        <v>BONUS</v>
      </c>
      <c r="N18" t="str">
        <f>IF(D18&lt;30,"YOUNG","EXPERIENCED")</f>
        <v>EXPERIENCED</v>
      </c>
      <c r="O18" t="str">
        <f t="shared" si="5"/>
        <v/>
      </c>
      <c r="P18" t="str">
        <f t="shared" si="6"/>
        <v>SENIOR</v>
      </c>
      <c r="Q18" t="str" cm="1">
        <f t="array" ref="Q18">_xlfn.IFS(H18="NEW YORK","NY GOOD PERFORMER",G18="GOOD","NY  GOOD PERFORMER","TRUE","")</f>
        <v/>
      </c>
      <c r="R18" t="str" cm="1">
        <f t="array" ref="R18">_xlfn.IFS(E18&lt;=60000,"Below or Equal 60k", TRUE,"")</f>
        <v/>
      </c>
      <c r="S18" t="str">
        <f t="shared" si="7"/>
        <v>SATISFACTORY</v>
      </c>
      <c r="T18" t="str">
        <f t="shared" si="8"/>
        <v/>
      </c>
      <c r="U18" t="str" cm="1">
        <f t="array" ref="U18">_xlfn.IFS(C18="IT","REVENUE DEPT",C18="SALES","REVENUE DEPT","TRUE","")</f>
        <v>REVENUE DEPT</v>
      </c>
      <c r="V18" t="str" cm="1">
        <f t="array" ref="V18">_xlfn.IFS(C20&lt;35,"YOUNG STAR",G20="EXCELLENT","YOUNG STAR","TRUE","")</f>
        <v/>
      </c>
      <c r="W18" t="str">
        <f t="shared" si="9"/>
        <v>NON-CHICAGO</v>
      </c>
      <c r="X18" t="str" cm="1">
        <f t="array" ref="X18">_xlfn.IFS(F18&lt;=5,"MID-LEVEL",F18&gt;=10,"MID-LEVEL","TRUE","")</f>
        <v>MID-LEVEL</v>
      </c>
      <c r="Y18" t="str">
        <f t="shared" si="10"/>
        <v>ELITE SALES</v>
      </c>
      <c r="Z18" t="str">
        <f>IF(AND(C18="HR",F18&gt;5),"SENIOR HR","")</f>
        <v/>
      </c>
      <c r="AA18" t="str">
        <f t="shared" si="12"/>
        <v/>
      </c>
      <c r="AB18" t="str">
        <f t="shared" si="13"/>
        <v>BOSTON LEADER</v>
      </c>
    </row>
    <row r="19" spans="1:28" ht="18" x14ac:dyDescent="0.3">
      <c r="A19" s="2" t="s">
        <v>18</v>
      </c>
      <c r="B19" s="2" t="s">
        <v>49</v>
      </c>
      <c r="C19" s="2" t="s">
        <v>66</v>
      </c>
      <c r="D19" s="2">
        <v>31</v>
      </c>
      <c r="E19" s="2">
        <v>51000</v>
      </c>
      <c r="F19" s="2">
        <v>6</v>
      </c>
      <c r="G19" s="2" t="s">
        <v>71</v>
      </c>
      <c r="H19" s="2" t="s">
        <v>76</v>
      </c>
      <c r="I19" t="str">
        <f t="shared" si="0"/>
        <v>High</v>
      </c>
      <c r="J19" t="str">
        <f t="shared" si="1"/>
        <v>Regular</v>
      </c>
      <c r="K19" t="str">
        <f t="shared" si="14"/>
        <v>NON-IT</v>
      </c>
      <c r="L19" t="str">
        <f t="shared" si="2"/>
        <v>Admin Dept</v>
      </c>
      <c r="M19" t="str">
        <f t="shared" si="3"/>
        <v>NO BONUS</v>
      </c>
      <c r="N19" t="str">
        <f t="shared" si="4"/>
        <v>EXPERIENCED</v>
      </c>
      <c r="O19" t="str">
        <f t="shared" si="5"/>
        <v/>
      </c>
      <c r="P19" t="str">
        <f t="shared" si="6"/>
        <v/>
      </c>
      <c r="Q19" t="str" cm="1">
        <f t="array" ref="Q19">_xlfn.IFS(H19="NEW YORK","NY GOOD PERFORMER",G19="GOOD","NY  GOOD PERFORMER","TRUE","")</f>
        <v>NY GOOD PERFORMER</v>
      </c>
      <c r="R19" t="str" cm="1">
        <f t="array" ref="R19">_xlfn.IFS(E19&lt;=60000,"Below or Equal 60k", TRUE,"")</f>
        <v>Below or Equal 60k</v>
      </c>
      <c r="S19" t="str">
        <f t="shared" si="7"/>
        <v>SATISFACTORY</v>
      </c>
      <c r="T19" t="str">
        <f t="shared" si="8"/>
        <v/>
      </c>
      <c r="U19" t="str" cm="1">
        <f t="array" ref="U19">_xlfn.IFS(C19="IT","REVENUE DEPT",C19="SALES","REVENUE DEPT","TRUE","")</f>
        <v/>
      </c>
      <c r="V19" t="str" cm="1">
        <f t="array" ref="V19">_xlfn.IFS(C21&lt;35,"YOUNG STAR",G21="EXCELLENT","YOUNG STAR","TRUE","")</f>
        <v>YOUNG STAR</v>
      </c>
      <c r="W19" t="str">
        <f t="shared" si="9"/>
        <v>NON-CHICAGO</v>
      </c>
      <c r="X19" t="str" cm="1">
        <f t="array" ref="X19">_xlfn.IFS(F19&lt;=5,"MID-LEVEL",F19&gt;=10,"MID-LEVEL","TRUE","")</f>
        <v/>
      </c>
      <c r="Y19" t="str">
        <f t="shared" si="10"/>
        <v/>
      </c>
      <c r="Z19" t="str">
        <f t="shared" si="11"/>
        <v/>
      </c>
      <c r="AA19" t="str">
        <f t="shared" si="12"/>
        <v/>
      </c>
      <c r="AB19" t="str">
        <f t="shared" si="13"/>
        <v/>
      </c>
    </row>
    <row r="20" spans="1:28" ht="18" x14ac:dyDescent="0.3">
      <c r="A20" s="2" t="s">
        <v>19</v>
      </c>
      <c r="B20" s="2" t="s">
        <v>50</v>
      </c>
      <c r="C20" s="2" t="s">
        <v>64</v>
      </c>
      <c r="D20" s="2">
        <v>39</v>
      </c>
      <c r="E20" s="2">
        <v>47000</v>
      </c>
      <c r="F20" s="2">
        <v>10</v>
      </c>
      <c r="G20" s="2" t="s">
        <v>73</v>
      </c>
      <c r="H20" s="2" t="s">
        <v>78</v>
      </c>
      <c r="I20" t="str">
        <f t="shared" si="0"/>
        <v>Low</v>
      </c>
      <c r="J20" t="str">
        <f t="shared" si="1"/>
        <v>Regular</v>
      </c>
      <c r="K20" t="str">
        <f t="shared" si="14"/>
        <v>NON-IT</v>
      </c>
      <c r="L20" t="str">
        <f t="shared" si="2"/>
        <v>Admin Dept</v>
      </c>
      <c r="M20" t="str">
        <f t="shared" si="3"/>
        <v>NO BONUS</v>
      </c>
      <c r="N20" t="str">
        <f t="shared" si="4"/>
        <v>EXPERIENCED</v>
      </c>
      <c r="O20" t="str">
        <f t="shared" si="5"/>
        <v/>
      </c>
      <c r="P20" t="str">
        <f t="shared" si="6"/>
        <v/>
      </c>
      <c r="Q20" t="str" cm="1">
        <f t="array" ref="Q20">_xlfn.IFS(H20="NEW YORK","NY GOOD PERFORMER",G20="GOOD","NY  GOOD PERFORMER","TRUE","")</f>
        <v/>
      </c>
      <c r="R20" t="str" cm="1">
        <f t="array" ref="R20">_xlfn.IFS(E20&lt;=60000,"Below or Equal 60k", TRUE,"")</f>
        <v>Below or Equal 60k</v>
      </c>
      <c r="S20" t="str">
        <f t="shared" si="7"/>
        <v>SATISFACTORY</v>
      </c>
      <c r="T20" t="str">
        <f t="shared" si="8"/>
        <v/>
      </c>
      <c r="U20" t="str" cm="1">
        <f t="array" ref="U20">_xlfn.IFS(C20="IT","REVENUE DEPT",C20="SALES","REVENUE DEPT","TRUE","")</f>
        <v/>
      </c>
      <c r="V20" t="str" cm="1">
        <f t="array" ref="V20">_xlfn.IFS(C22&lt;35,"YOUNG STAR",G22="EXCELLENT","YOUNG STAR","TRUE","")</f>
        <v/>
      </c>
      <c r="W20" t="str">
        <f t="shared" si="9"/>
        <v>NON-CHICAGO</v>
      </c>
      <c r="X20" t="str" cm="1">
        <f t="array" ref="X20">_xlfn.IFS(F20&lt;=5,"MID-LEVEL",F20&gt;=10,"MID-LEVEL","TRUE","")</f>
        <v>MID-LEVEL</v>
      </c>
      <c r="Y20" t="str">
        <f t="shared" si="10"/>
        <v/>
      </c>
      <c r="Z20" t="str">
        <f t="shared" si="11"/>
        <v>SENIOR HR</v>
      </c>
      <c r="AA20" t="str">
        <f t="shared" si="12"/>
        <v/>
      </c>
      <c r="AB20" t="str">
        <f t="shared" si="13"/>
        <v/>
      </c>
    </row>
    <row r="21" spans="1:28" ht="18" x14ac:dyDescent="0.3">
      <c r="A21" s="2" t="s">
        <v>20</v>
      </c>
      <c r="B21" s="2" t="s">
        <v>51</v>
      </c>
      <c r="C21" s="2" t="s">
        <v>65</v>
      </c>
      <c r="D21" s="2">
        <v>44</v>
      </c>
      <c r="E21" s="2">
        <v>83000</v>
      </c>
      <c r="F21" s="2">
        <v>18</v>
      </c>
      <c r="G21" s="2" t="s">
        <v>72</v>
      </c>
      <c r="H21" s="2" t="s">
        <v>77</v>
      </c>
      <c r="I21" t="str">
        <f t="shared" si="0"/>
        <v>High</v>
      </c>
      <c r="J21" t="str">
        <f t="shared" si="1"/>
        <v>Regular</v>
      </c>
      <c r="K21" t="str">
        <f t="shared" si="14"/>
        <v/>
      </c>
      <c r="L21" t="str">
        <f t="shared" si="2"/>
        <v>Other</v>
      </c>
      <c r="M21" t="str">
        <f t="shared" si="3"/>
        <v>BONUS</v>
      </c>
      <c r="N21" t="str">
        <f t="shared" si="4"/>
        <v>EXPERIENCED</v>
      </c>
      <c r="O21" t="str">
        <f t="shared" si="5"/>
        <v/>
      </c>
      <c r="P21" t="str">
        <f t="shared" si="6"/>
        <v>SENIOR</v>
      </c>
      <c r="Q21" t="str" cm="1">
        <f t="array" ref="Q21">_xlfn.IFS(H21="NEW YORK","NY GOOD PERFORMER",G21="GOOD","NY  GOOD PERFORMER","TRUE","")</f>
        <v/>
      </c>
      <c r="R21" t="str" cm="1">
        <f t="array" ref="R21">_xlfn.IFS(E21&lt;=60000,"Below or Equal 60k", TRUE,"")</f>
        <v/>
      </c>
      <c r="S21" t="str">
        <f t="shared" si="7"/>
        <v>SATISFACTORY</v>
      </c>
      <c r="T21" t="str">
        <f t="shared" si="8"/>
        <v/>
      </c>
      <c r="U21" t="str" cm="1">
        <f t="array" ref="U21">_xlfn.IFS(C21="IT","REVENUE DEPT",C21="SALES","REVENUE DEPT","TRUE","")</f>
        <v>REVENUE DEPT</v>
      </c>
      <c r="V21" t="str" cm="1">
        <f t="array" ref="V21">_xlfn.IFS(C23&lt;35,"YOUNG STAR",G23="EXCELLENT","YOUNG STAR","TRUE","")</f>
        <v>YOUNG STAR</v>
      </c>
      <c r="W21" t="str">
        <f t="shared" si="9"/>
        <v/>
      </c>
      <c r="X21" t="str" cm="1">
        <f t="array" ref="X21">_xlfn.IFS(F21&lt;=5,"MID-LEVEL",F21&gt;=10,"MID-LEVEL","TRUE","")</f>
        <v>MID-LEVEL</v>
      </c>
      <c r="Y21" t="str">
        <f t="shared" si="10"/>
        <v/>
      </c>
      <c r="Z21" t="str">
        <f t="shared" si="11"/>
        <v/>
      </c>
      <c r="AA21" t="str">
        <f t="shared" si="12"/>
        <v/>
      </c>
      <c r="AB21" t="str">
        <f t="shared" si="13"/>
        <v/>
      </c>
    </row>
    <row r="22" spans="1:28" ht="18" x14ac:dyDescent="0.3">
      <c r="A22" s="2" t="s">
        <v>21</v>
      </c>
      <c r="B22" s="2" t="s">
        <v>52</v>
      </c>
      <c r="C22" s="2" t="s">
        <v>63</v>
      </c>
      <c r="D22" s="2">
        <v>37</v>
      </c>
      <c r="E22" s="2">
        <v>69000</v>
      </c>
      <c r="F22" s="2">
        <v>9</v>
      </c>
      <c r="G22" s="2" t="s">
        <v>74</v>
      </c>
      <c r="H22" s="2" t="s">
        <v>79</v>
      </c>
      <c r="I22" t="str">
        <f t="shared" si="0"/>
        <v>High</v>
      </c>
      <c r="J22" t="str">
        <f t="shared" si="1"/>
        <v>Top sales</v>
      </c>
      <c r="K22" t="str">
        <f t="shared" si="14"/>
        <v>NON-IT</v>
      </c>
      <c r="L22" t="str">
        <f t="shared" si="2"/>
        <v>Other</v>
      </c>
      <c r="M22" t="str">
        <f t="shared" si="3"/>
        <v>NO BONUS</v>
      </c>
      <c r="N22" t="str">
        <f t="shared" si="4"/>
        <v>EXPERIENCED</v>
      </c>
      <c r="O22" t="str">
        <f t="shared" si="5"/>
        <v/>
      </c>
      <c r="P22" t="str">
        <f t="shared" si="6"/>
        <v/>
      </c>
      <c r="Q22" t="str" cm="1">
        <f t="array" ref="Q22">_xlfn.IFS(H22="NEW YORK","NY GOOD PERFORMER",G22="GOOD","NY  GOOD PERFORMER","TRUE","")</f>
        <v/>
      </c>
      <c r="R22" t="str" cm="1">
        <f t="array" ref="R22">_xlfn.IFS(E22&lt;=60000,"Below or Equal 60k", TRUE,"")</f>
        <v/>
      </c>
      <c r="S22" t="str">
        <f t="shared" si="7"/>
        <v>NEEDS IMPROVEMENT</v>
      </c>
      <c r="T22" t="str">
        <f t="shared" si="8"/>
        <v/>
      </c>
      <c r="U22" t="str" cm="1">
        <f t="array" ref="U22">_xlfn.IFS(C22="IT","REVENUE DEPT",C22="SALES","REVENUE DEPT","TRUE","")</f>
        <v>REVENUE DEPT</v>
      </c>
      <c r="V22" t="str" cm="1">
        <f t="array" ref="V22">_xlfn.IFS(C24&lt;35,"YOUNG STAR",G24="EXCELLENT","YOUNG STAR","TRUE","")</f>
        <v/>
      </c>
      <c r="W22" t="str">
        <f t="shared" si="9"/>
        <v>NON-CHICAGO</v>
      </c>
      <c r="X22" t="str" cm="1">
        <f t="array" ref="X22">_xlfn.IFS(F22&lt;=5,"MID-LEVEL",F22&gt;=10,"MID-LEVEL","TRUE","")</f>
        <v/>
      </c>
      <c r="Y22" t="str">
        <f t="shared" si="10"/>
        <v/>
      </c>
      <c r="Z22" t="str">
        <f t="shared" si="11"/>
        <v/>
      </c>
      <c r="AA22" t="str">
        <f t="shared" si="12"/>
        <v>NEEDS REVIEW</v>
      </c>
      <c r="AB22" t="str">
        <f t="shared" si="13"/>
        <v>BOSTON LEADER</v>
      </c>
    </row>
    <row r="23" spans="1:28" ht="18" x14ac:dyDescent="0.3">
      <c r="A23" s="2" t="s">
        <v>22</v>
      </c>
      <c r="B23" s="2" t="s">
        <v>53</v>
      </c>
      <c r="C23" s="2" t="s">
        <v>66</v>
      </c>
      <c r="D23" s="2">
        <v>33</v>
      </c>
      <c r="E23" s="2">
        <v>61000</v>
      </c>
      <c r="F23" s="2">
        <v>8</v>
      </c>
      <c r="G23" s="2" t="s">
        <v>72</v>
      </c>
      <c r="H23" s="2" t="s">
        <v>80</v>
      </c>
      <c r="I23" t="str">
        <f t="shared" si="0"/>
        <v>High</v>
      </c>
      <c r="J23" t="str">
        <f t="shared" si="1"/>
        <v>Regular</v>
      </c>
      <c r="K23" t="str">
        <f t="shared" si="14"/>
        <v>NON-IT</v>
      </c>
      <c r="L23" t="str">
        <f t="shared" si="2"/>
        <v>Admin Dept</v>
      </c>
      <c r="M23" t="str">
        <f t="shared" si="3"/>
        <v>BONUS</v>
      </c>
      <c r="N23" t="str">
        <f t="shared" si="4"/>
        <v>EXPERIENCED</v>
      </c>
      <c r="O23" t="str">
        <f t="shared" si="5"/>
        <v/>
      </c>
      <c r="P23" t="str">
        <f t="shared" si="6"/>
        <v/>
      </c>
      <c r="Q23" t="str" cm="1">
        <f t="array" ref="Q23">_xlfn.IFS(H23="NEW YORK","NY GOOD PERFORMER",G23="GOOD","NY  GOOD PERFORMER","TRUE","")</f>
        <v/>
      </c>
      <c r="R23" t="str" cm="1">
        <f t="array" ref="R23">_xlfn.IFS(E23&lt;=60000,"Below or Equal 60k", TRUE,"")</f>
        <v/>
      </c>
      <c r="S23" t="str">
        <f t="shared" si="7"/>
        <v>SATISFACTORY</v>
      </c>
      <c r="T23" t="str">
        <f t="shared" si="8"/>
        <v/>
      </c>
      <c r="U23" t="str" cm="1">
        <f t="array" ref="U23">_xlfn.IFS(C23="IT","REVENUE DEPT",C23="SALES","REVENUE DEPT","TRUE","")</f>
        <v/>
      </c>
      <c r="V23" t="str" cm="1">
        <f t="array" ref="V23">_xlfn.IFS(C25&lt;35,"YOUNG STAR",G25="EXCELLENT","YOUNG STAR","TRUE","")</f>
        <v/>
      </c>
      <c r="W23" t="str">
        <f t="shared" si="9"/>
        <v>NON-CHICAGO</v>
      </c>
      <c r="X23" t="str" cm="1">
        <f t="array" ref="X23">_xlfn.IFS(F23&lt;=5,"MID-LEVEL",F23&gt;=10,"MID-LEVEL","TRUE","")</f>
        <v/>
      </c>
      <c r="Y23" t="str">
        <f t="shared" si="10"/>
        <v/>
      </c>
      <c r="Z23" t="str">
        <f t="shared" si="11"/>
        <v/>
      </c>
      <c r="AA23" t="str">
        <f t="shared" si="12"/>
        <v/>
      </c>
      <c r="AB23" t="str">
        <f t="shared" si="13"/>
        <v/>
      </c>
    </row>
    <row r="24" spans="1:28" ht="18" x14ac:dyDescent="0.3">
      <c r="A24" s="2" t="s">
        <v>23</v>
      </c>
      <c r="B24" s="2" t="s">
        <v>54</v>
      </c>
      <c r="C24" s="2" t="s">
        <v>64</v>
      </c>
      <c r="D24" s="2">
        <v>46</v>
      </c>
      <c r="E24" s="2">
        <v>78000</v>
      </c>
      <c r="F24" s="2">
        <v>20</v>
      </c>
      <c r="G24" s="2" t="s">
        <v>71</v>
      </c>
      <c r="H24" s="2" t="s">
        <v>76</v>
      </c>
      <c r="I24" t="str">
        <f t="shared" si="0"/>
        <v>High</v>
      </c>
      <c r="J24" t="str">
        <f t="shared" si="1"/>
        <v>Regular</v>
      </c>
      <c r="K24" t="str">
        <f t="shared" si="14"/>
        <v>NON-IT</v>
      </c>
      <c r="L24" t="str">
        <f t="shared" si="2"/>
        <v>Admin Dept</v>
      </c>
      <c r="M24" t="str">
        <f t="shared" si="3"/>
        <v>NO BONUS</v>
      </c>
      <c r="N24" t="str">
        <f t="shared" si="4"/>
        <v>EXPERIENCED</v>
      </c>
      <c r="O24" t="str">
        <f t="shared" si="5"/>
        <v/>
      </c>
      <c r="P24" t="str">
        <f t="shared" si="6"/>
        <v>SENIOR</v>
      </c>
      <c r="Q24" t="str" cm="1">
        <f t="array" ref="Q24">_xlfn.IFS(H24="NEW YORK","NY GOOD PERFORMER",G24="GOOD","NY  GOOD PERFORMER","TRUE","")</f>
        <v>NY GOOD PERFORMER</v>
      </c>
      <c r="R24" t="str" cm="1">
        <f t="array" ref="R24">_xlfn.IFS(E24&lt;=60000,"Below or Equal 60k", TRUE,"")</f>
        <v/>
      </c>
      <c r="S24" t="str">
        <f t="shared" si="7"/>
        <v>SATISFACTORY</v>
      </c>
      <c r="T24" t="str">
        <f t="shared" si="8"/>
        <v/>
      </c>
      <c r="U24" t="str" cm="1">
        <f t="array" ref="U24">_xlfn.IFS(C24="IT","REVENUE DEPT",C24="SALES","REVENUE DEPT","TRUE","")</f>
        <v/>
      </c>
      <c r="V24" t="str" cm="1">
        <f t="array" ref="V24">_xlfn.IFS(C26&lt;35,"YOUNG STAR",G26="EXCELLENT","YOUNG STAR","TRUE","")</f>
        <v>YOUNG STAR</v>
      </c>
      <c r="W24" t="str">
        <f t="shared" si="9"/>
        <v>NON-CHICAGO</v>
      </c>
      <c r="X24" t="str" cm="1">
        <f t="array" ref="X24">_xlfn.IFS(F24&lt;=5,"MID-LEVEL",F24&gt;=10,"MID-LEVEL","TRUE","")</f>
        <v>MID-LEVEL</v>
      </c>
      <c r="Y24" t="str">
        <f t="shared" si="10"/>
        <v/>
      </c>
      <c r="Z24" t="str">
        <f t="shared" si="11"/>
        <v>SENIOR HR</v>
      </c>
      <c r="AA24" t="str">
        <f>IF(OR(G24="POOR",E24&lt;40000),"NEEDS REVIEW","")</f>
        <v/>
      </c>
      <c r="AB24" t="str">
        <f t="shared" si="13"/>
        <v/>
      </c>
    </row>
    <row r="25" spans="1:28" ht="18" x14ac:dyDescent="0.3">
      <c r="A25" s="2" t="s">
        <v>24</v>
      </c>
      <c r="B25" s="2" t="s">
        <v>55</v>
      </c>
      <c r="C25" s="2" t="s">
        <v>65</v>
      </c>
      <c r="D25" s="2">
        <v>25</v>
      </c>
      <c r="E25" s="2">
        <v>50000</v>
      </c>
      <c r="F25" s="2">
        <v>2</v>
      </c>
      <c r="G25" s="2" t="s">
        <v>74</v>
      </c>
      <c r="H25" s="2" t="s">
        <v>78</v>
      </c>
      <c r="I25" t="str">
        <f t="shared" si="0"/>
        <v>Low</v>
      </c>
      <c r="J25" t="str">
        <f t="shared" si="1"/>
        <v>Regular</v>
      </c>
      <c r="K25" t="str">
        <f t="shared" si="14"/>
        <v/>
      </c>
      <c r="L25" t="str">
        <f t="shared" si="2"/>
        <v>Other</v>
      </c>
      <c r="M25" t="str">
        <f t="shared" si="3"/>
        <v>NO BONUS</v>
      </c>
      <c r="N25" t="str">
        <f t="shared" si="4"/>
        <v>YOUNG</v>
      </c>
      <c r="O25" t="str">
        <f t="shared" si="5"/>
        <v/>
      </c>
      <c r="P25" t="str">
        <f t="shared" si="6"/>
        <v/>
      </c>
      <c r="Q25" t="str" cm="1">
        <f t="array" ref="Q25">_xlfn.IFS(H25="NEW YORK","NY GOOD PERFORMER",G25="GOOD","NY  GOOD PERFORMER","TRUE","")</f>
        <v/>
      </c>
      <c r="R25" t="str" cm="1">
        <f t="array" ref="R25">_xlfn.IFS(E25&lt;=60000,"Below or Equal 60k", TRUE,"")</f>
        <v>Below or Equal 60k</v>
      </c>
      <c r="S25" t="str">
        <f t="shared" si="7"/>
        <v>NEEDS IMPROVEMENT</v>
      </c>
      <c r="T25" t="str">
        <f t="shared" si="8"/>
        <v/>
      </c>
      <c r="U25" t="str" cm="1">
        <f t="array" ref="U25">_xlfn.IFS(C25="IT","REVENUE DEPT",C25="SALES","REVENUE DEPT","TRUE","")</f>
        <v>REVENUE DEPT</v>
      </c>
      <c r="V25" t="str" cm="1">
        <f t="array" ref="V25">_xlfn.IFS(C27&lt;35,"YOUNG STAR",G27="EXCELLENT","YOUNG STAR","TRUE","")</f>
        <v/>
      </c>
      <c r="W25" t="str">
        <f t="shared" si="9"/>
        <v>NON-CHICAGO</v>
      </c>
      <c r="X25" t="str" cm="1">
        <f t="array" ref="X25">_xlfn.IFS(F25&lt;=5,"MID-LEVEL",F25&gt;=10,"MID-LEVEL","TRUE","")</f>
        <v>MID-LEVEL</v>
      </c>
      <c r="Y25" t="str">
        <f t="shared" si="10"/>
        <v/>
      </c>
      <c r="Z25" t="str">
        <f t="shared" si="11"/>
        <v/>
      </c>
      <c r="AA25" t="str">
        <f t="shared" si="12"/>
        <v>NEEDS REVIEW</v>
      </c>
      <c r="AB25" t="str">
        <f t="shared" si="13"/>
        <v/>
      </c>
    </row>
    <row r="26" spans="1:28" ht="18" x14ac:dyDescent="0.3">
      <c r="A26" s="2" t="s">
        <v>25</v>
      </c>
      <c r="B26" s="2" t="s">
        <v>56</v>
      </c>
      <c r="C26" s="2" t="s">
        <v>63</v>
      </c>
      <c r="D26" s="2">
        <v>40</v>
      </c>
      <c r="E26" s="2">
        <v>72000</v>
      </c>
      <c r="F26" s="2">
        <v>13</v>
      </c>
      <c r="G26" s="2" t="s">
        <v>72</v>
      </c>
      <c r="H26" s="2" t="s">
        <v>77</v>
      </c>
      <c r="I26" t="str">
        <f t="shared" si="0"/>
        <v>High</v>
      </c>
      <c r="J26" t="str">
        <f t="shared" si="1"/>
        <v>Top sales</v>
      </c>
      <c r="K26" t="str">
        <f t="shared" si="14"/>
        <v>NON-IT</v>
      </c>
      <c r="L26" t="str">
        <f t="shared" si="2"/>
        <v>Other</v>
      </c>
      <c r="M26" t="str">
        <f t="shared" si="3"/>
        <v>BONUS</v>
      </c>
      <c r="N26" t="str">
        <f t="shared" si="4"/>
        <v>EXPERIENCED</v>
      </c>
      <c r="O26" t="str">
        <f t="shared" si="5"/>
        <v/>
      </c>
      <c r="P26" t="str">
        <f t="shared" si="6"/>
        <v/>
      </c>
      <c r="Q26" t="str" cm="1">
        <f t="array" ref="Q26">_xlfn.IFS(H26="NEW YORK","NY GOOD PERFORMER",G26="GOOD","NY  GOOD PERFORMER","TRUE","")</f>
        <v/>
      </c>
      <c r="R26" t="str" cm="1">
        <f t="array" ref="R26">_xlfn.IFS(E26&lt;=60000,"Below or Equal 60k", TRUE,"")</f>
        <v/>
      </c>
      <c r="S26" t="str">
        <f t="shared" si="7"/>
        <v>SATISFACTORY</v>
      </c>
      <c r="T26" t="str">
        <f t="shared" si="8"/>
        <v/>
      </c>
      <c r="U26" t="str" cm="1">
        <f t="array" ref="U26">_xlfn.IFS(C26="IT","REVENUE DEPT",C26="SALES","REVENUE DEPT","TRUE","")</f>
        <v>REVENUE DEPT</v>
      </c>
      <c r="V26" t="str" cm="1">
        <f t="array" ref="V26">_xlfn.IFS(C28&lt;35,"YOUNG STAR",G28="EXCELLENT","YOUNG STAR","TRUE","")</f>
        <v/>
      </c>
      <c r="W26" t="str">
        <f t="shared" si="9"/>
        <v/>
      </c>
      <c r="X26" t="str" cm="1">
        <f t="array" ref="X26">_xlfn.IFS(F26&lt;=5,"MID-LEVEL",F26&gt;=10,"MID-LEVEL","TRUE","")</f>
        <v>MID-LEVEL</v>
      </c>
      <c r="Y26" t="str">
        <f t="shared" si="10"/>
        <v>ELITE SALES</v>
      </c>
      <c r="Z26" t="str">
        <f t="shared" si="11"/>
        <v/>
      </c>
      <c r="AA26" t="str">
        <f t="shared" si="12"/>
        <v/>
      </c>
      <c r="AB26" t="str">
        <f t="shared" si="13"/>
        <v/>
      </c>
    </row>
    <row r="27" spans="1:28" ht="18" x14ac:dyDescent="0.3">
      <c r="A27" s="2" t="s">
        <v>26</v>
      </c>
      <c r="B27" s="2" t="s">
        <v>57</v>
      </c>
      <c r="C27" s="2" t="s">
        <v>66</v>
      </c>
      <c r="D27" s="2">
        <v>29</v>
      </c>
      <c r="E27" s="2">
        <v>47000</v>
      </c>
      <c r="F27" s="2">
        <v>4</v>
      </c>
      <c r="G27" s="2" t="s">
        <v>71</v>
      </c>
      <c r="H27" s="2" t="s">
        <v>79</v>
      </c>
      <c r="I27" t="str">
        <f t="shared" si="0"/>
        <v>Low</v>
      </c>
      <c r="J27" t="str">
        <f t="shared" si="1"/>
        <v>Regular</v>
      </c>
      <c r="K27" t="str">
        <f t="shared" si="14"/>
        <v>NON-IT</v>
      </c>
      <c r="L27" t="str">
        <f t="shared" si="2"/>
        <v>Admin Dept</v>
      </c>
      <c r="M27" t="str">
        <f t="shared" si="3"/>
        <v>NO BONUS</v>
      </c>
      <c r="N27" t="str">
        <f t="shared" si="4"/>
        <v>YOUNG</v>
      </c>
      <c r="O27" t="str">
        <f t="shared" si="5"/>
        <v>JUNIOR LOW PAY</v>
      </c>
      <c r="P27" t="str">
        <f t="shared" si="6"/>
        <v/>
      </c>
      <c r="Q27" t="str" cm="1">
        <f t="array" ref="Q27">_xlfn.IFS(H27="NEW YORK","NY GOOD PERFORMER",G27="GOOD","NY  GOOD PERFORMER","TRUE","")</f>
        <v>NY  GOOD PERFORMER</v>
      </c>
      <c r="R27" t="str" cm="1">
        <f t="array" ref="R27">_xlfn.IFS(E27&lt;=60000,"Below or Equal 60k", TRUE,"")</f>
        <v>Below or Equal 60k</v>
      </c>
      <c r="S27" t="str">
        <f t="shared" si="7"/>
        <v>SATISFACTORY</v>
      </c>
      <c r="T27" t="str">
        <f t="shared" si="8"/>
        <v/>
      </c>
      <c r="U27" t="str" cm="1">
        <f t="array" ref="U27">_xlfn.IFS(C27="IT","REVENUE DEPT",C27="SALES","REVENUE DEPT","TRUE","")</f>
        <v/>
      </c>
      <c r="V27" t="str" cm="1">
        <f t="array" ref="V27">_xlfn.IFS(C29&lt;35,"YOUNG STAR",G29="EXCELLENT","YOUNG STAR","TRUE","")</f>
        <v>YOUNG STAR</v>
      </c>
      <c r="W27" t="str">
        <f t="shared" si="9"/>
        <v>NON-CHICAGO</v>
      </c>
      <c r="X27" t="str" cm="1">
        <f t="array" ref="X27">_xlfn.IFS(F27&lt;=5,"MID-LEVEL",F27&gt;=10,"MID-LEVEL","TRUE","")</f>
        <v>MID-LEVEL</v>
      </c>
      <c r="Y27" t="str">
        <f t="shared" si="10"/>
        <v/>
      </c>
      <c r="Z27" t="str">
        <f t="shared" si="11"/>
        <v/>
      </c>
      <c r="AA27" t="str">
        <f t="shared" si="12"/>
        <v/>
      </c>
      <c r="AB27" t="str">
        <f t="shared" si="13"/>
        <v/>
      </c>
    </row>
    <row r="28" spans="1:28" ht="18" x14ac:dyDescent="0.3">
      <c r="A28" s="2" t="s">
        <v>27</v>
      </c>
      <c r="B28" s="2" t="s">
        <v>58</v>
      </c>
      <c r="C28" s="2" t="s">
        <v>65</v>
      </c>
      <c r="D28" s="2">
        <v>35</v>
      </c>
      <c r="E28" s="2">
        <v>64000</v>
      </c>
      <c r="F28" s="2">
        <v>7</v>
      </c>
      <c r="G28" s="2" t="s">
        <v>71</v>
      </c>
      <c r="H28" s="2" t="s">
        <v>76</v>
      </c>
      <c r="I28" t="str">
        <f t="shared" si="0"/>
        <v>High</v>
      </c>
      <c r="J28" t="str">
        <f t="shared" si="1"/>
        <v>Regular</v>
      </c>
      <c r="K28" t="str">
        <f t="shared" si="14"/>
        <v/>
      </c>
      <c r="L28" t="str">
        <f t="shared" si="2"/>
        <v>Other</v>
      </c>
      <c r="M28" t="str">
        <f t="shared" si="3"/>
        <v>NO BONUS</v>
      </c>
      <c r="N28" t="str">
        <f t="shared" si="4"/>
        <v>EXPERIENCED</v>
      </c>
      <c r="O28" t="str">
        <f t="shared" si="5"/>
        <v/>
      </c>
      <c r="P28" t="str">
        <f t="shared" si="6"/>
        <v/>
      </c>
      <c r="Q28" t="str" cm="1">
        <f t="array" ref="Q28">_xlfn.IFS(H28="NEW YORK","NY GOOD PERFORMER",G28="GOOD","NY  GOOD PERFORMER","TRUE","")</f>
        <v>NY GOOD PERFORMER</v>
      </c>
      <c r="R28" t="str" cm="1">
        <f t="array" ref="R28">_xlfn.IFS(E28&lt;=60000,"Below or Equal 60k", TRUE,"")</f>
        <v/>
      </c>
      <c r="S28" t="str">
        <f t="shared" si="7"/>
        <v>SATISFACTORY</v>
      </c>
      <c r="T28" t="str">
        <f t="shared" si="8"/>
        <v/>
      </c>
      <c r="U28" t="str" cm="1">
        <f t="array" ref="U28">_xlfn.IFS(C28="IT","REVENUE DEPT",C28="SALES","REVENUE DEPT","TRUE","")</f>
        <v>REVENUE DEPT</v>
      </c>
      <c r="V28" t="str" cm="1">
        <f t="array" ref="V28">_xlfn.IFS(C30&lt;35,"YOUNG STAR",G30="EXCELLENT","YOUNG STAR","TRUE","")</f>
        <v/>
      </c>
      <c r="W28" t="str">
        <f t="shared" si="9"/>
        <v>NON-CHICAGO</v>
      </c>
      <c r="X28" t="str" cm="1">
        <f t="array" ref="X28">_xlfn.IFS(F28&lt;=5,"MID-LEVEL",F28&gt;=10,"MID-LEVEL","TRUE","")</f>
        <v/>
      </c>
      <c r="Y28" t="str">
        <f t="shared" si="10"/>
        <v/>
      </c>
      <c r="Z28" t="str">
        <f t="shared" si="11"/>
        <v/>
      </c>
      <c r="AA28" t="str">
        <f t="shared" si="12"/>
        <v/>
      </c>
      <c r="AB28" t="str">
        <f t="shared" si="13"/>
        <v/>
      </c>
    </row>
    <row r="29" spans="1:28" ht="18" x14ac:dyDescent="0.3">
      <c r="A29" s="2" t="s">
        <v>28</v>
      </c>
      <c r="B29" s="2" t="s">
        <v>59</v>
      </c>
      <c r="C29" s="2" t="s">
        <v>64</v>
      </c>
      <c r="D29" s="2">
        <v>43</v>
      </c>
      <c r="E29" s="2">
        <v>85000</v>
      </c>
      <c r="F29" s="2">
        <v>17</v>
      </c>
      <c r="G29" s="2" t="s">
        <v>72</v>
      </c>
      <c r="H29" s="2" t="s">
        <v>80</v>
      </c>
      <c r="I29" t="str">
        <f t="shared" si="0"/>
        <v>High</v>
      </c>
      <c r="J29" t="str">
        <f t="shared" si="1"/>
        <v>Regular</v>
      </c>
      <c r="K29" t="str">
        <f t="shared" si="14"/>
        <v>NON-IT</v>
      </c>
      <c r="L29" t="str">
        <f t="shared" si="2"/>
        <v>Admin Dept</v>
      </c>
      <c r="M29" t="str">
        <f t="shared" si="3"/>
        <v>BONUS</v>
      </c>
      <c r="N29" t="str">
        <f t="shared" si="4"/>
        <v>EXPERIENCED</v>
      </c>
      <c r="O29" t="str">
        <f t="shared" si="5"/>
        <v/>
      </c>
      <c r="P29" t="str">
        <f t="shared" si="6"/>
        <v>SENIOR</v>
      </c>
      <c r="Q29" t="str" cm="1">
        <f t="array" ref="Q29">_xlfn.IFS(H29="NEW YORK","NY GOOD PERFORMER",G29="GOOD","NY  GOOD PERFORMER","TRUE","")</f>
        <v/>
      </c>
      <c r="R29" t="str" cm="1">
        <f t="array" ref="R29">_xlfn.IFS(E29&lt;=60000,"Below or Equal 60k", TRUE,"")</f>
        <v/>
      </c>
      <c r="S29" t="str">
        <f t="shared" si="7"/>
        <v>SATISFACTORY</v>
      </c>
      <c r="T29" t="str">
        <f t="shared" si="8"/>
        <v/>
      </c>
      <c r="U29" t="str" cm="1">
        <f t="array" ref="U29">_xlfn.IFS(C29="IT","REVENUE DEPT",C29="SALES","REVENUE DEPT","TRUE","")</f>
        <v/>
      </c>
      <c r="V29" t="str" cm="1">
        <f t="array" ref="V29">_xlfn.IFS(C31&lt;35,"YOUNG STAR",G31="EXCELLENT","YOUNG STAR","TRUE","")</f>
        <v/>
      </c>
      <c r="W29" t="str">
        <f t="shared" si="9"/>
        <v>NON-CHICAGO</v>
      </c>
      <c r="X29" t="str" cm="1">
        <f t="array" ref="X29">_xlfn.IFS(F29&lt;=5,"MID-LEVEL",F29&gt;=10,"MID-LEVEL","TRUE","")</f>
        <v>MID-LEVEL</v>
      </c>
      <c r="Y29" t="str">
        <f>IF(AND(C29="SALES",OR(G29="EXCELLENT",E29&gt;75000)),"ELITE SALES","")</f>
        <v/>
      </c>
      <c r="Z29" t="str">
        <f>IF(AND(C29="HR",F29&gt;5),"SENIOR HR","")</f>
        <v>SENIOR HR</v>
      </c>
      <c r="AA29" t="str">
        <f t="shared" si="12"/>
        <v/>
      </c>
      <c r="AB29" t="str">
        <f t="shared" si="13"/>
        <v/>
      </c>
    </row>
    <row r="30" spans="1:28" ht="18" x14ac:dyDescent="0.3">
      <c r="A30" s="2" t="s">
        <v>29</v>
      </c>
      <c r="B30" s="2" t="s">
        <v>60</v>
      </c>
      <c r="C30" s="2" t="s">
        <v>63</v>
      </c>
      <c r="D30" s="2">
        <v>38</v>
      </c>
      <c r="E30" s="2">
        <v>78000</v>
      </c>
      <c r="F30" s="2">
        <v>11</v>
      </c>
      <c r="G30" s="2" t="s">
        <v>73</v>
      </c>
      <c r="H30" s="2" t="s">
        <v>78</v>
      </c>
      <c r="I30" t="str">
        <f>IF(E30&gt;50000,"High","Low")</f>
        <v>High</v>
      </c>
      <c r="J30" t="str">
        <f t="shared" si="1"/>
        <v>Top sales</v>
      </c>
      <c r="K30" t="str">
        <f t="shared" si="14"/>
        <v>NON-IT</v>
      </c>
      <c r="L30" t="str">
        <f t="shared" si="2"/>
        <v>Other</v>
      </c>
      <c r="M30" t="str">
        <f t="shared" si="3"/>
        <v>NO BONUS</v>
      </c>
      <c r="N30" t="str">
        <f t="shared" si="4"/>
        <v>EXPERIENCED</v>
      </c>
      <c r="O30" t="str">
        <f t="shared" si="5"/>
        <v/>
      </c>
      <c r="P30" t="str">
        <f t="shared" si="6"/>
        <v/>
      </c>
      <c r="Q30" t="str" cm="1">
        <f t="array" ref="Q30">_xlfn.IFS(H30="NEW YORK","NY GOOD PERFORMER",G30="GOOD","NY  GOOD PERFORMER","TRUE","")</f>
        <v/>
      </c>
      <c r="R30" t="str" cm="1">
        <f t="array" ref="R30">_xlfn.IFS(E30&lt;=60000,"Below or Equal 60k", TRUE,"")</f>
        <v/>
      </c>
      <c r="S30" t="str">
        <f t="shared" si="7"/>
        <v>SATISFACTORY</v>
      </c>
      <c r="T30" t="str">
        <f t="shared" si="8"/>
        <v/>
      </c>
      <c r="U30" t="str" cm="1">
        <f t="array" ref="U30">_xlfn.IFS(C30="IT","REVENUE DEPT",C30="SALES","REVENUE DEPT","TRUE","")</f>
        <v>REVENUE DEPT</v>
      </c>
      <c r="W30" t="str">
        <f t="shared" si="9"/>
        <v>NON-CHICAGO</v>
      </c>
      <c r="X30" t="str" cm="1">
        <f t="array" ref="X30">_xlfn.IFS(F30&lt;=5,"MID-LEVEL",F30&gt;=10,"MID-LEVEL","TRUE","")</f>
        <v>MID-LEVEL</v>
      </c>
      <c r="Y30" t="str">
        <f t="shared" si="10"/>
        <v>ELITE SALES</v>
      </c>
      <c r="Z30" t="str">
        <f t="shared" si="11"/>
        <v/>
      </c>
      <c r="AA30" t="str">
        <f t="shared" si="12"/>
        <v/>
      </c>
      <c r="AB30" t="str">
        <f t="shared" si="13"/>
        <v/>
      </c>
    </row>
    <row r="31" spans="1:28" ht="18" x14ac:dyDescent="0.3">
      <c r="A31" s="2" t="s">
        <v>30</v>
      </c>
      <c r="B31" s="2" t="s">
        <v>61</v>
      </c>
      <c r="C31" s="2" t="s">
        <v>66</v>
      </c>
      <c r="D31" s="2">
        <v>36</v>
      </c>
      <c r="E31" s="2">
        <v>66000</v>
      </c>
      <c r="F31" s="2">
        <v>10</v>
      </c>
      <c r="G31" s="2" t="s">
        <v>71</v>
      </c>
      <c r="H31" s="2" t="s">
        <v>77</v>
      </c>
      <c r="I31" t="str">
        <f t="shared" si="0"/>
        <v>High</v>
      </c>
      <c r="J31" t="str">
        <f t="shared" si="1"/>
        <v>Regular</v>
      </c>
      <c r="K31" t="str">
        <f t="shared" si="14"/>
        <v>NON-IT</v>
      </c>
      <c r="L31" t="str">
        <f t="shared" si="2"/>
        <v>Admin Dept</v>
      </c>
      <c r="M31" t="str">
        <f t="shared" si="3"/>
        <v>NO BONUS</v>
      </c>
      <c r="N31" t="str">
        <f>IF(D31&lt;30,"YOUNG","EXPERIENCED")</f>
        <v>EXPERIENCED</v>
      </c>
      <c r="O31" t="str">
        <f t="shared" si="5"/>
        <v/>
      </c>
      <c r="P31" t="str">
        <f>IF(OR(D31&gt;40,F31&gt;15),"SENIOR","")</f>
        <v/>
      </c>
      <c r="Q31" t="str" cm="1">
        <f t="array" ref="Q31">_xlfn.IFS(H31="NEW YORK","NY GOOD PERFORMER",G31="GOOD","NY  GOOD PERFORMER","TRUE","")</f>
        <v>NY  GOOD PERFORMER</v>
      </c>
      <c r="R31" t="str" cm="1">
        <f t="array" ref="R31">_xlfn.IFS(E31&lt;=60000,"Below or Equal 60k", TRUE,"")</f>
        <v/>
      </c>
      <c r="S31" t="str">
        <f t="shared" si="7"/>
        <v>SATISFACTORY</v>
      </c>
      <c r="T31" t="str">
        <f t="shared" si="8"/>
        <v/>
      </c>
      <c r="U31" t="str" cm="1">
        <f t="array" ref="U31">_xlfn.IFS(C31="IT","REVENUE DEPT",C31="SALES","REVENUE DEPT","TRUE","")</f>
        <v/>
      </c>
      <c r="W31" t="str">
        <f t="shared" si="9"/>
        <v/>
      </c>
      <c r="X31" t="str" cm="1">
        <f t="array" ref="X31">_xlfn.IFS(F31&lt;=5,"MID-LEVEL",F31&gt;=10,"MID-LEVEL","TRUE","")</f>
        <v>MID-LEVEL</v>
      </c>
      <c r="Y31" t="str">
        <f t="shared" si="10"/>
        <v/>
      </c>
      <c r="Z31" t="str">
        <f t="shared" si="11"/>
        <v/>
      </c>
      <c r="AA31" t="str">
        <f>IF(OR(G31="POOR",E31&lt;40000),"NEEDS REVIEW","")</f>
        <v/>
      </c>
      <c r="AB31" t="str">
        <f t="shared" si="13"/>
        <v/>
      </c>
    </row>
    <row r="32" spans="1:28" x14ac:dyDescent="0.3">
      <c r="Q32" t="str" cm="1">
        <f t="array" ref="Q32">_xlfn.IFS(H32="NEW YORK","NY GOOD PERFORMER",G32="GOOD","NY  GOOD PERFORMER","TRUE","")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kotaalekhya31@outlook.com</dc:creator>
  <cp:lastModifiedBy>kotaalekhya31@outlook.com</cp:lastModifiedBy>
  <dcterms:created xsi:type="dcterms:W3CDTF">2026-02-26T15:03:33Z</dcterms:created>
  <dcterms:modified xsi:type="dcterms:W3CDTF">2026-02-27T16:51:02Z</dcterms:modified>
</cp:coreProperties>
</file>